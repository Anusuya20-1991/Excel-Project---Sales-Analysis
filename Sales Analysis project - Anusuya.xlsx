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E:\Data Analytics Course Materials\Excel\"/>
    </mc:Choice>
  </mc:AlternateContent>
  <bookViews>
    <workbookView xWindow="0" yWindow="0" windowWidth="23040" windowHeight="9072" activeTab="3"/>
  </bookViews>
  <sheets>
    <sheet name="Sales Data" sheetId="1" r:id="rId1"/>
    <sheet name="Pivot Table" sheetId="2" r:id="rId2"/>
    <sheet name="Sheet6" sheetId="6" r:id="rId3"/>
    <sheet name="Dashboard Analysis" sheetId="7" r:id="rId4"/>
  </sheets>
  <definedNames>
    <definedName name="_xlnm._FilterDatabase" localSheetId="0" hidden="1">'Sales Data'!$J$2:$J$1002</definedName>
    <definedName name="Slicer_Order_Date">#N/A</definedName>
    <definedName name="Slicer_Product">#N/A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9" i="1" l="1"/>
  <c r="M11" i="1" l="1"/>
  <c r="M7" i="1"/>
  <c r="M15" i="1"/>
</calcChain>
</file>

<file path=xl/sharedStrings.xml><?xml version="1.0" encoding="utf-8"?>
<sst xmlns="http://schemas.openxmlformats.org/spreadsheetml/2006/main" count="4137" uniqueCount="1063">
  <si>
    <t>Order_ID</t>
  </si>
  <si>
    <t>Order_Date</t>
  </si>
  <si>
    <t>Region</t>
  </si>
  <si>
    <t>Salesperson</t>
  </si>
  <si>
    <t>Product</t>
  </si>
  <si>
    <t>Quantity</t>
  </si>
  <si>
    <t>Unit_Price</t>
  </si>
  <si>
    <t>Gross_Sales</t>
  </si>
  <si>
    <t>Discount_Percent</t>
  </si>
  <si>
    <t>Net_Sales</t>
  </si>
  <si>
    <t>ORD0001</t>
  </si>
  <si>
    <t>West</t>
  </si>
  <si>
    <t>Priya</t>
  </si>
  <si>
    <t>Rice</t>
  </si>
  <si>
    <t>ORD0002</t>
  </si>
  <si>
    <t>South</t>
  </si>
  <si>
    <t>Arun</t>
  </si>
  <si>
    <t>ORD0003</t>
  </si>
  <si>
    <t>North</t>
  </si>
  <si>
    <t>Sneha</t>
  </si>
  <si>
    <t>Milk</t>
  </si>
  <si>
    <t>ORD0004</t>
  </si>
  <si>
    <t>East</t>
  </si>
  <si>
    <t>Rahul</t>
  </si>
  <si>
    <t>Chocolate</t>
  </si>
  <si>
    <t>ORD0005</t>
  </si>
  <si>
    <t>Vikram</t>
  </si>
  <si>
    <t>Shampoo</t>
  </si>
  <si>
    <t>ORD0006</t>
  </si>
  <si>
    <t>Meena</t>
  </si>
  <si>
    <t>Tea Powder</t>
  </si>
  <si>
    <t>ORD0007</t>
  </si>
  <si>
    <t>Divya</t>
  </si>
  <si>
    <t>Juice</t>
  </si>
  <si>
    <t>ORD0008</t>
  </si>
  <si>
    <t>ORD0009</t>
  </si>
  <si>
    <t>ORD0010</t>
  </si>
  <si>
    <t>Biscuits</t>
  </si>
  <si>
    <t>ORD0011</t>
  </si>
  <si>
    <t>Soap</t>
  </si>
  <si>
    <t>ORD0012</t>
  </si>
  <si>
    <t>ORD0013</t>
  </si>
  <si>
    <t>ORD0014</t>
  </si>
  <si>
    <t>ORD0015</t>
  </si>
  <si>
    <t>Kavin</t>
  </si>
  <si>
    <t>ORD0016</t>
  </si>
  <si>
    <t>ORD0017</t>
  </si>
  <si>
    <t>ORD0018</t>
  </si>
  <si>
    <t>ORD0019</t>
  </si>
  <si>
    <t>ORD0020</t>
  </si>
  <si>
    <t>ORD0021</t>
  </si>
  <si>
    <t>ORD0022</t>
  </si>
  <si>
    <t>Rohit</t>
  </si>
  <si>
    <t>ORD0023</t>
  </si>
  <si>
    <t>ORD0024</t>
  </si>
  <si>
    <t>ORD0025</t>
  </si>
  <si>
    <t>ORD0026</t>
  </si>
  <si>
    <t>ORD0027</t>
  </si>
  <si>
    <t>ORD0028</t>
  </si>
  <si>
    <t>ORD0029</t>
  </si>
  <si>
    <t>Anjali</t>
  </si>
  <si>
    <t>ORD0030</t>
  </si>
  <si>
    <t>ORD0031</t>
  </si>
  <si>
    <t>ORD0032</t>
  </si>
  <si>
    <t>ORD0033</t>
  </si>
  <si>
    <t>ORD0034</t>
  </si>
  <si>
    <t>ORD0035</t>
  </si>
  <si>
    <t>ORD0036</t>
  </si>
  <si>
    <t>ORD0037</t>
  </si>
  <si>
    <t>ORD0038</t>
  </si>
  <si>
    <t>ORD0039</t>
  </si>
  <si>
    <t>ORD0040</t>
  </si>
  <si>
    <t>ORD0041</t>
  </si>
  <si>
    <t>ORD0042</t>
  </si>
  <si>
    <t>ORD0043</t>
  </si>
  <si>
    <t>ORD0044</t>
  </si>
  <si>
    <t>Detergent</t>
  </si>
  <si>
    <t>ORD0045</t>
  </si>
  <si>
    <t>ORD0046</t>
  </si>
  <si>
    <t>ORD0047</t>
  </si>
  <si>
    <t>ORD0048</t>
  </si>
  <si>
    <t>ORD0049</t>
  </si>
  <si>
    <t>ORD0050</t>
  </si>
  <si>
    <t>ORD0051</t>
  </si>
  <si>
    <t>ORD0052</t>
  </si>
  <si>
    <t>ORD0053</t>
  </si>
  <si>
    <t>ORD0054</t>
  </si>
  <si>
    <t>Bread</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</si>
  <si>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</si>
  <si>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</si>
  <si>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</si>
  <si>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</si>
  <si>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</si>
  <si>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</si>
  <si>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</si>
  <si>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</si>
  <si>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</si>
  <si>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</si>
  <si>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</si>
  <si>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</si>
  <si>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</si>
  <si>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</si>
  <si>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</si>
  <si>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</si>
  <si>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</si>
  <si>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</si>
  <si>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</si>
  <si>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</si>
  <si>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</si>
  <si>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</si>
  <si>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</si>
  <si>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</si>
  <si>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</si>
  <si>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</si>
  <si>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</si>
  <si>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</si>
  <si>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</si>
  <si>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</si>
  <si>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</si>
  <si>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</si>
  <si>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</si>
  <si>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</si>
  <si>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</si>
  <si>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</si>
  <si>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</si>
  <si>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</si>
  <si>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</si>
  <si>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</si>
  <si>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</si>
  <si>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</si>
  <si>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</si>
  <si>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</si>
  <si>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</si>
  <si>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</si>
  <si>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</si>
  <si>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</si>
  <si>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</si>
  <si>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</si>
  <si>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</si>
  <si>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</si>
  <si>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</si>
  <si>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</si>
  <si>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</si>
  <si>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</si>
  <si>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</si>
  <si>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</si>
  <si>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</si>
  <si>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</si>
  <si>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</si>
  <si>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</si>
  <si>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</si>
  <si>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</si>
  <si>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</si>
  <si>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</si>
  <si>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</si>
  <si>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</si>
  <si>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</si>
  <si>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</si>
  <si>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</si>
  <si>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</si>
  <si>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</si>
  <si>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</si>
  <si>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</si>
  <si>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</si>
  <si>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</si>
  <si>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</si>
  <si>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</si>
  <si>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</si>
  <si>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</si>
  <si>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</si>
  <si>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</si>
  <si>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</si>
  <si>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</si>
  <si>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</si>
  <si>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</si>
  <si>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</si>
  <si>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</si>
  <si>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</si>
  <si>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</si>
  <si>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</si>
  <si>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</si>
  <si>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</si>
  <si>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</si>
  <si>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</si>
  <si>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</si>
  <si>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</si>
  <si>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</si>
  <si>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</si>
  <si>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</si>
  <si>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</si>
  <si>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</si>
  <si>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</si>
  <si>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</si>
  <si>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</si>
  <si>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</si>
  <si>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</si>
  <si>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</si>
  <si>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</si>
  <si>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</si>
  <si>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</si>
  <si>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</si>
  <si>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</si>
  <si>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</si>
  <si>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</si>
  <si>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</si>
  <si>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</si>
  <si>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</si>
  <si>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</si>
  <si>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</si>
  <si>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</si>
  <si>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</si>
  <si>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</si>
  <si>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</si>
  <si>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</si>
  <si>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</si>
  <si>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</si>
  <si>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</si>
  <si>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</si>
  <si>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</si>
  <si>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</si>
  <si>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</si>
  <si>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</si>
  <si>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</si>
  <si>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</si>
  <si>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</si>
  <si>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</si>
  <si>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</si>
  <si>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</si>
  <si>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</si>
  <si>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</si>
  <si>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</si>
  <si>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</si>
  <si>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</si>
  <si>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</si>
  <si>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</si>
  <si>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</si>
  <si>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</si>
  <si>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</si>
  <si>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</si>
  <si>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</si>
  <si>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</si>
  <si>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</si>
  <si>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</si>
  <si>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</si>
  <si>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</si>
  <si>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</si>
  <si>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</si>
  <si>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</si>
  <si>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</si>
  <si>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</si>
  <si>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</si>
  <si>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</si>
  <si>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</si>
  <si>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</si>
  <si>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</si>
  <si>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</si>
  <si>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</si>
  <si>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</si>
  <si>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</si>
  <si>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</si>
  <si>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</si>
  <si>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</si>
  <si>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</si>
  <si>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</si>
  <si>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</si>
  <si>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</si>
  <si>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</si>
  <si>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</si>
  <si>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</si>
  <si>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</si>
  <si>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</si>
  <si>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</si>
  <si>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</si>
  <si>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</si>
  <si>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</si>
  <si>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</si>
  <si>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</si>
  <si>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</si>
  <si>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</si>
  <si>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</si>
  <si>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</si>
  <si>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</si>
  <si>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</si>
  <si>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</si>
  <si>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</si>
  <si>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</si>
  <si>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</si>
  <si>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</si>
  <si>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</si>
  <si>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</si>
  <si>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</si>
  <si>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</si>
  <si>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</si>
  <si>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</si>
  <si>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</si>
  <si>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</si>
  <si>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</si>
  <si>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</si>
  <si>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</si>
  <si>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</si>
  <si>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</si>
  <si>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</si>
  <si>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</si>
  <si>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</si>
  <si>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</si>
  <si>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</si>
  <si>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</si>
  <si>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</si>
  <si>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</si>
  <si>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</si>
  <si>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</si>
  <si>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</si>
  <si>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</si>
  <si>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</si>
  <si>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</si>
  <si>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</si>
  <si>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</si>
  <si>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</si>
  <si>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</si>
  <si>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</si>
  <si>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</si>
  <si>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</si>
  <si>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</si>
  <si>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</si>
  <si>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</si>
  <si>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</si>
  <si>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</si>
  <si>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</si>
  <si>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</si>
  <si>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</si>
  <si>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</si>
  <si>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</si>
  <si>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</si>
  <si>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</si>
  <si>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</si>
  <si>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</si>
  <si>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</si>
  <si>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</si>
  <si>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</si>
  <si>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</si>
  <si>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</si>
  <si>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</si>
  <si>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</si>
  <si>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</si>
  <si>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</si>
  <si>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</si>
  <si>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</si>
  <si>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</si>
  <si>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</si>
  <si>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</si>
  <si>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</si>
  <si>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</si>
  <si>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</si>
  <si>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</si>
  <si>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</si>
  <si>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</si>
  <si>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</si>
  <si>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</si>
  <si>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</si>
  <si>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</si>
  <si>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</si>
  <si>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</si>
  <si>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</si>
  <si>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</si>
  <si>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</si>
  <si>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</si>
  <si>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</si>
  <si>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</si>
  <si>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</si>
  <si>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</si>
  <si>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</si>
  <si>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</si>
  <si>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</si>
  <si>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</si>
  <si>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</si>
  <si>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</si>
  <si>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</si>
  <si>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</si>
  <si>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</si>
  <si>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</si>
  <si>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</si>
  <si>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</si>
  <si>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</si>
  <si>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</si>
  <si>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</si>
  <si>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</si>
  <si>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</si>
  <si>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</si>
  <si>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</si>
  <si>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</si>
  <si>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</si>
  <si>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</si>
  <si>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</si>
  <si>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</si>
  <si>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</si>
  <si>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</si>
  <si>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</si>
  <si>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</si>
  <si>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</si>
  <si>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</si>
  <si>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</si>
  <si>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</si>
  <si>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</si>
  <si>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</si>
  <si>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</si>
  <si>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</si>
  <si>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</si>
  <si>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</si>
  <si>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</si>
  <si>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</si>
  <si>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</si>
  <si>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</si>
  <si>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</si>
  <si>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</si>
  <si>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</si>
  <si>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</si>
  <si>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</si>
  <si>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</si>
  <si>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</si>
  <si>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</si>
  <si>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</si>
  <si>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</si>
  <si>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</si>
  <si>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</si>
  <si>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</si>
  <si>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</si>
  <si>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</si>
  <si>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</si>
  <si>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</si>
  <si>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</si>
  <si>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</si>
  <si>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</si>
  <si>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</si>
  <si>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</si>
  <si>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</si>
  <si>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</si>
  <si>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</si>
  <si>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</si>
  <si>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</si>
  <si>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</si>
  <si>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</si>
  <si>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</si>
  <si>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</si>
  <si>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</si>
  <si>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</si>
  <si>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</si>
  <si>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</si>
  <si>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</si>
  <si>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</si>
  <si>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</si>
  <si>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</si>
  <si>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</si>
  <si>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</si>
  <si>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</si>
  <si>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</si>
  <si>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</si>
  <si>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</si>
  <si>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</si>
  <si>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</si>
  <si>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</si>
  <si>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</si>
  <si>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</si>
  <si>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</si>
  <si>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</si>
  <si>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</si>
  <si>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</si>
  <si>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</si>
  <si>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</si>
  <si>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</si>
  <si>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</si>
  <si>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</si>
  <si>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</si>
  <si>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</si>
  <si>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</si>
  <si>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</si>
  <si>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</si>
  <si>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</si>
  <si>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</si>
  <si>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</si>
  <si>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</si>
  <si>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</si>
  <si>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</si>
  <si>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</si>
  <si>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</si>
  <si>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</si>
  <si>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</si>
  <si>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</si>
  <si>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</si>
  <si>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</si>
  <si>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</si>
  <si>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</si>
  <si>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</si>
  <si>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</si>
  <si>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</si>
  <si>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</si>
  <si>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</si>
  <si>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</si>
  <si>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</si>
  <si>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</si>
  <si>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</si>
  <si>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</si>
  <si>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</si>
  <si>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</si>
  <si>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</si>
  <si>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</si>
  <si>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</si>
  <si>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</si>
  <si>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</si>
  <si>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</si>
  <si>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</si>
  <si>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</si>
  <si>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</si>
  <si>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</si>
  <si>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</si>
  <si>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</si>
  <si>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</si>
  <si>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</si>
  <si>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</si>
  <si>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</si>
  <si>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</si>
  <si>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</si>
  <si>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</si>
  <si>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</si>
  <si>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</si>
  <si>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</si>
  <si>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</si>
  <si>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</si>
  <si>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</si>
  <si>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</si>
  <si>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</si>
  <si>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</si>
  <si>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</si>
  <si>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</si>
  <si>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</si>
  <si>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</si>
  <si>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</si>
  <si>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</si>
  <si>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</si>
  <si>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</si>
  <si>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</si>
  <si>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</si>
  <si>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</si>
  <si>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</si>
  <si>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</si>
  <si>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</si>
  <si>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</si>
  <si>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</si>
  <si>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</si>
  <si>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</si>
  <si>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</si>
  <si>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</si>
  <si>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</si>
  <si>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</si>
  <si>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</si>
  <si>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</si>
  <si>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</si>
  <si>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</si>
  <si>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</si>
  <si>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</si>
  <si>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</si>
  <si>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</si>
  <si>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</si>
  <si>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</si>
  <si>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</si>
  <si>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</si>
  <si>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</si>
  <si>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</si>
  <si>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</si>
  <si>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</si>
  <si>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</si>
  <si>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</si>
  <si>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</si>
  <si>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</si>
  <si>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</si>
  <si>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</si>
  <si>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</si>
  <si>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</si>
  <si>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</si>
  <si>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</si>
  <si>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</si>
  <si>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</si>
  <si>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</si>
  <si>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</si>
  <si>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</si>
  <si>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</si>
  <si>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</si>
  <si>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</si>
  <si>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</si>
  <si>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</si>
  <si>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</si>
  <si>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</si>
  <si>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</si>
  <si>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</si>
  <si>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</si>
  <si>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</si>
  <si>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</si>
  <si>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</si>
  <si>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</si>
  <si>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</si>
  <si>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</si>
  <si>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</si>
  <si>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</si>
  <si>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</si>
  <si>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</si>
  <si>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</si>
  <si>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</si>
  <si>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</si>
  <si>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</si>
  <si>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</si>
  <si>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</si>
  <si>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</si>
  <si>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</si>
  <si>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</si>
  <si>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</si>
  <si>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</si>
  <si>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</si>
  <si>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</si>
  <si>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</si>
  <si>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</si>
  <si>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</si>
  <si>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</si>
  <si>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</si>
  <si>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</si>
  <si>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</si>
  <si>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</si>
  <si>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</si>
  <si>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</si>
  <si>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</si>
  <si>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</si>
  <si>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</si>
  <si>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</si>
  <si>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</si>
  <si>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</si>
  <si>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</si>
  <si>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</si>
  <si>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</si>
  <si>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</si>
  <si>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</si>
  <si>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</si>
  <si>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</si>
  <si>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</si>
  <si>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</si>
  <si>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</si>
  <si>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</si>
  <si>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</si>
  <si>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</si>
  <si>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</si>
  <si>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</si>
  <si>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</si>
  <si>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</si>
  <si>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</si>
  <si>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</si>
  <si>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</si>
  <si>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</si>
  <si>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</si>
  <si>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</si>
  <si>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</si>
  <si>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</si>
  <si>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</si>
  <si>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</si>
  <si>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</si>
  <si>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</si>
  <si>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</si>
  <si>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</si>
  <si>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</si>
  <si>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</si>
  <si>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</si>
  <si>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</si>
  <si>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</si>
  <si>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</si>
  <si>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</si>
  <si>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</si>
  <si>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</si>
  <si>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</si>
  <si>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</si>
  <si>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</si>
  <si>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</si>
  <si>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</si>
  <si>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</si>
  <si>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</si>
  <si>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</si>
  <si>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</si>
  <si>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</si>
  <si>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</si>
  <si>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</si>
  <si>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</si>
  <si>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</si>
  <si>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</si>
  <si>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</si>
  <si>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</si>
  <si>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</si>
  <si>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</si>
  <si>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</si>
  <si>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</si>
  <si>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</si>
  <si>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</si>
  <si>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</si>
  <si>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</si>
  <si>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</si>
  <si>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</si>
  <si>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</si>
  <si>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</si>
  <si>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</si>
  <si>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</si>
  <si>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</si>
  <si>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</si>
  <si>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</si>
  <si>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</si>
  <si>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</si>
  <si>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</si>
  <si>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</si>
  <si>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</si>
  <si>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</si>
  <si>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</si>
  <si>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</si>
  <si>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</si>
  <si>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</si>
  <si>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</si>
  <si>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</si>
  <si>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</si>
  <si>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</si>
  <si>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</si>
  <si>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</si>
  <si>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</si>
  <si>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</si>
  <si>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</si>
  <si>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</si>
  <si>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</si>
  <si>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</si>
  <si>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</si>
  <si>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</si>
  <si>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</si>
  <si>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</si>
  <si>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</si>
  <si>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</si>
  <si>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</si>
  <si>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</si>
  <si>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</si>
  <si>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</si>
  <si>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</si>
  <si>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</si>
  <si>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</si>
  <si>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</si>
  <si>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</si>
  <si>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</si>
  <si>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</si>
  <si>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</si>
  <si>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</si>
  <si>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</si>
  <si>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</si>
  <si>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</si>
  <si>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</si>
  <si>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</si>
  <si>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</si>
  <si>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</si>
  <si>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</si>
  <si>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</si>
  <si>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</si>
  <si>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</si>
  <si>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</si>
  <si>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</si>
  <si>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</si>
  <si>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</si>
  <si>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</si>
  <si>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</si>
  <si>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</si>
  <si>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</si>
  <si>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</si>
  <si>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</si>
  <si>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</si>
  <si>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</si>
  <si>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</si>
  <si>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</si>
  <si>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</si>
  <si>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</si>
  <si>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</si>
  <si>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</si>
  <si>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</si>
  <si>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</si>
  <si>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</si>
  <si>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</si>
  <si>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</si>
  <si>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</si>
  <si>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</si>
  <si>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</si>
  <si>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</si>
  <si>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</si>
  <si>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</si>
  <si>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</si>
  <si>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</si>
  <si>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</si>
  <si>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</si>
  <si>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</si>
  <si>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</si>
  <si>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</si>
  <si>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</si>
  <si>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</si>
  <si>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</si>
  <si>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</si>
  <si>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</si>
  <si>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</si>
  <si>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</si>
  <si>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</si>
  <si>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</si>
  <si>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</si>
  <si>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</si>
  <si>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</si>
  <si>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</si>
  <si>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</si>
  <si>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</si>
  <si>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</si>
  <si>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</si>
  <si>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</si>
  <si>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</si>
  <si>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</si>
  <si>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</si>
  <si>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</si>
  <si>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</si>
  <si>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</si>
  <si>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</si>
  <si>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</si>
  <si>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</si>
  <si>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</si>
  <si>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</si>
  <si>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</si>
  <si>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</si>
  <si>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</si>
  <si>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</si>
  <si>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</si>
  <si>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</si>
  <si>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</si>
  <si>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</si>
  <si>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</si>
  <si>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</si>
  <si>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</si>
  <si>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</si>
  <si>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</si>
  <si>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</si>
  <si>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</si>
  <si>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</si>
  <si>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</si>
  <si>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</si>
  <si>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</si>
  <si>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</si>
  <si>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</si>
  <si>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</si>
  <si>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</si>
  <si>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</si>
  <si>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</si>
  <si>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</si>
  <si>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</si>
  <si>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</si>
  <si>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</si>
  <si>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</si>
  <si>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</si>
  <si>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</si>
  <si>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</si>
  <si>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</si>
  <si>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</si>
  <si>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</si>
  <si>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</si>
  <si>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</si>
  <si>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</si>
  <si>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</si>
  <si>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</si>
  <si>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</si>
  <si>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</si>
  <si>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</si>
  <si>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</si>
  <si>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</si>
  <si>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</si>
  <si>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</si>
  <si>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</si>
  <si>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</si>
  <si>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</si>
  <si>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</si>
  <si>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</si>
  <si>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</si>
  <si>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</si>
  <si>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</si>
  <si>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</si>
  <si>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</si>
  <si>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</si>
  <si>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</si>
  <si>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</si>
  <si>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</si>
  <si>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</si>
  <si>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</si>
  <si>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</si>
  <si>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</si>
  <si>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</si>
  <si>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</si>
  <si>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</si>
  <si>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</si>
  <si>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</si>
  <si>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</si>
  <si>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</si>
  <si>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</si>
  <si>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</si>
  <si>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</si>
  <si>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</si>
  <si>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</si>
  <si>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</si>
  <si>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</si>
  <si>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</si>
  <si>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</si>
  <si>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</si>
  <si>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</si>
  <si>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</si>
  <si>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</si>
  <si>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</si>
  <si>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</si>
  <si>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</si>
  <si>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</si>
  <si>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</si>
  <si>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</si>
  <si>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</si>
  <si>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</si>
  <si>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</si>
  <si>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</si>
  <si>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</si>
  <si>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</si>
  <si>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</si>
  <si>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</si>
  <si>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</si>
  <si>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</si>
  <si>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</si>
  <si>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</si>
  <si>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</si>
  <si>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</si>
  <si>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</si>
  <si>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</si>
  <si>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</si>
  <si>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</si>
  <si>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</si>
  <si>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</si>
  <si>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</si>
  <si>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</si>
  <si>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</si>
  <si>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</si>
  <si>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</si>
  <si>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</si>
  <si>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</si>
  <si>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</si>
  <si>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</si>
  <si>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</si>
  <si>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</si>
  <si>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</si>
  <si>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</si>
  <si>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</si>
  <si>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</si>
  <si>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</si>
  <si>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</si>
  <si>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</si>
  <si>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</si>
  <si>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</si>
  <si>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</si>
  <si>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</si>
  <si>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</si>
  <si>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</si>
  <si>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</si>
  <si>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</si>
  <si>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</si>
  <si>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</si>
  <si>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</si>
  <si>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</si>
  <si>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</si>
  <si>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</si>
  <si>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</si>
  <si>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</si>
  <si>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</si>
  <si>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</si>
  <si>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</si>
  <si>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</si>
  <si>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</si>
  <si>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</si>
  <si>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</si>
  <si>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</si>
  <si>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</si>
  <si>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</si>
  <si>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</si>
  <si>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</si>
  <si>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</si>
  <si>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</si>
  <si>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</si>
  <si>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</si>
  <si>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</si>
  <si>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</si>
  <si>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</si>
  <si>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</si>
  <si>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</si>
  <si>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</si>
  <si>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</si>
  <si>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</si>
  <si>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</si>
  <si>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</si>
  <si>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</si>
  <si>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</si>
  <si>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</si>
  <si>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</si>
  <si>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</si>
  <si>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</si>
  <si>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</si>
  <si>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</si>
  <si>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</si>
  <si>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</si>
  <si>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</si>
  <si>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</si>
  <si>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</si>
  <si>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</si>
  <si>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</si>
  <si>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</si>
  <si>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</si>
  <si>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</si>
  <si>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</si>
  <si>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</si>
  <si>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</si>
  <si>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</si>
  <si>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</si>
  <si>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</si>
  <si>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</si>
  <si>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</si>
  <si>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</si>
  <si>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</si>
  <si>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</si>
  <si>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</si>
  <si>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</si>
  <si>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</si>
  <si>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</si>
  <si>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</si>
  <si>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</si>
  <si>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</si>
  <si>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</si>
  <si>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</si>
  <si>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Row Labels</t>
  </si>
  <si>
    <t>Grand Total</t>
  </si>
  <si>
    <t>Column Labels</t>
  </si>
  <si>
    <t>Sum of Net_Sales</t>
  </si>
  <si>
    <t>Total Sales</t>
  </si>
  <si>
    <t>Average Sales</t>
  </si>
  <si>
    <t>2025</t>
  </si>
  <si>
    <t>May</t>
  </si>
  <si>
    <t>Jun</t>
  </si>
  <si>
    <t>Jul</t>
  </si>
  <si>
    <t>Aug</t>
  </si>
  <si>
    <t>Sep</t>
  </si>
  <si>
    <t>Oct</t>
  </si>
  <si>
    <t>Nov</t>
  </si>
  <si>
    <t>Dec</t>
  </si>
  <si>
    <t>2026</t>
  </si>
  <si>
    <t>Jan</t>
  </si>
  <si>
    <t>Feb</t>
  </si>
  <si>
    <t>Mar</t>
  </si>
  <si>
    <t>Apr</t>
  </si>
  <si>
    <t xml:space="preserve"> Region-wise and Product-wise sales</t>
  </si>
  <si>
    <t>Top 5 Salespersons based on Net Sales</t>
  </si>
  <si>
    <t>Monthly Sales Trends</t>
  </si>
  <si>
    <t>GRACE SUPERMARKET SALES PERFORMANCE</t>
  </si>
  <si>
    <t>Total Orders</t>
  </si>
  <si>
    <t>Salespersonwise  net sales</t>
  </si>
  <si>
    <t>VLOOKUP Function to Fetch the Product details</t>
  </si>
  <si>
    <t>GRACE SUPER MARKET SALES</t>
  </si>
  <si>
    <t>Count of Net_Sales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</si>
</sst>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009]\ #,##0.00;[Red][$₹-4009]\ #,##0.00"/>
    <numFmt numFmtId="165" formatCode="[$₹-4009]\ #,##0.00"/>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b/>
      <sz val="11"/>
      <color theme="1"/>
      <name val="Calibri"/>
      <family val="2"/>
      <scheme val="minor"/>
    </font>
    <font>
      <b/>
      <sz val="18"/>
      <color theme="1"/>
      <name val="Calibri"/>
      <family val="2"/>
      <scheme val="minor"/>
    </font>
    <font>
      <sz val="11"/>
      <color theme="0"/>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8">
    <xf numFmtId="0" fontId="0" fillId="0" borderId="0" xfId="0"/>
    <xf numFmtId="0" fontId="1" fillId="0" borderId="1" xfId="0" applyFont="1" applyBorder="1"/>
    <xf numFmtId="0" fontId="2" fillId="0" borderId="1" xfId="0" applyFont="1" applyBorder="1"/>
    <xf numFmtId="14" fontId="2" fillId="0" borderId="1" xfId="0" applyNumberFormat="1" applyFont="1" applyBorder="1"/>
    <xf numFmtId="0" fontId="0" fillId="0" borderId="0" xfId="0" pivotButton="1"/>
    <xf numFmtId="0" fontId="0" fillId="0" borderId="0" xfId="0" applyAlignment="1">
      <alignment horizontal="left"/>
    </xf>
    <xf numFmtId="0" fontId="0" fillId="0" borderId="0" xfId="0" applyNumberFormat="1"/>
    <xf numFmtId="0" fontId="3" fillId="2" borderId="0" xfId="0" applyFont="1" applyFill="1"/>
    <xf numFmtId="164" fontId="0" fillId="0" borderId="0" xfId="0" applyNumberFormat="1"/>
    <xf numFmtId="165" fontId="0" fillId="0" borderId="0" xfId="0" applyNumberFormat="1"/>
    <xf numFmtId="0" fontId="0" fillId="4" borderId="0" xfId="0" applyFill="1" applyAlignment="1">
      <alignment horizontal="left"/>
    </xf>
    <xf numFmtId="0" fontId="0" fillId="4" borderId="0" xfId="0" applyNumberFormat="1" applyFill="1"/>
    <xf numFmtId="164" fontId="0" fillId="4" borderId="0" xfId="0" applyNumberFormat="1" applyFill="1"/>
    <xf numFmtId="165" fontId="0" fillId="4" borderId="0" xfId="0" applyNumberFormat="1" applyFill="1"/>
    <xf numFmtId="165" fontId="1" fillId="0" borderId="1" xfId="0" applyNumberFormat="1" applyFont="1" applyBorder="1"/>
    <xf numFmtId="165" fontId="2" fillId="0" borderId="1" xfId="0" applyNumberFormat="1" applyFont="1" applyBorder="1"/>
    <xf numFmtId="14" fontId="0" fillId="0" borderId="0" xfId="0" applyNumberFormat="1" applyAlignment="1">
      <alignment horizontal="left" indent="1"/>
    </xf>
    <xf numFmtId="0" fontId="0" fillId="0" borderId="0" xfId="0" applyBorder="1"/>
    <xf numFmtId="165" fontId="1" fillId="0" borderId="0" xfId="0" applyNumberFormat="1" applyFont="1" applyBorder="1"/>
    <xf numFmtId="165" fontId="2" fillId="0" borderId="0" xfId="0" applyNumberFormat="1" applyFont="1" applyBorder="1"/>
    <xf numFmtId="0" fontId="3" fillId="5" borderId="0" xfId="0" applyFont="1" applyFill="1"/>
    <xf numFmtId="0" fontId="1" fillId="0" borderId="0" xfId="0" applyFont="1" applyBorder="1"/>
    <xf numFmtId="0" fontId="2" fillId="0" borderId="0" xfId="0" applyFont="1" applyBorder="1"/>
    <xf numFmtId="0" fontId="5" fillId="5" borderId="0" xfId="0" applyFont="1" applyFill="1" applyBorder="1" applyAlignment="1">
      <alignment horizontal="left"/>
    </xf>
    <xf numFmtId="165" fontId="5" fillId="5" borderId="0" xfId="0" applyNumberFormat="1" applyFont="1" applyFill="1" applyBorder="1"/>
    <xf numFmtId="0" fontId="3" fillId="0" borderId="2" xfId="0" applyFont="1" applyBorder="1" applyAlignment="1">
      <alignment horizontal="center"/>
    </xf>
    <xf numFmtId="0" fontId="3" fillId="3" borderId="0" xfId="0" applyFont="1" applyFill="1" applyAlignment="1">
      <alignment horizontal="center"/>
    </xf>
    <xf numFmtId="0" fontId="4" fillId="2" borderId="0" xfId="0" applyFont="1" applyFill="1" applyAlignment="1">
      <alignment horizontal="center"/>
    </xf>
  </cellXfs>
  <cellStyles count="1">
    <cellStyle name="Normal" xfId="0" builtinId="0"/>
  </cellStyles>
  <dxfs count="13">
    <dxf>
      <fill>
        <patternFill>
          <bgColor rgb="FF92D050"/>
        </patternFill>
      </fill>
    </dxf>
    <dxf>
      <fill>
        <patternFill patternType="solid">
          <bgColor theme="5" tint="0.39997558519241921"/>
        </patternFill>
      </fill>
    </dxf>
    <dxf>
      <numFmt numFmtId="165" formatCode="[$₹-4009]\ #,##0.00"/>
    </dxf>
    <dxf>
      <fill>
        <patternFill patternType="solid">
          <bgColor theme="5" tint="0.39997558519241921"/>
        </patternFill>
      </fill>
    </dxf>
    <dxf>
      <numFmt numFmtId="165" formatCode="[$₹-4009]\ #,##0.00"/>
    </dxf>
    <dxf>
      <numFmt numFmtId="166" formatCode="&quot;$&quot;#,##0.00"/>
    </dxf>
    <dxf>
      <fill>
        <patternFill patternType="solid">
          <bgColor theme="5" tint="0.39997558519241921"/>
        </patternFill>
      </fill>
    </dxf>
    <dxf>
      <numFmt numFmtId="164" formatCode="[$₹-4009]\ #,##0.00;[Red][$₹-4009]\ #,##0.00"/>
    </dxf>
    <dxf>
      <numFmt numFmtId="34" formatCode="_(&quot;$&quot;* #,##0.00_);_(&quot;$&quot;* \(#,##0.00\);_(&quot;$&quot;* &quot;-&quot;??_);_(@_)"/>
    </dxf>
    <dxf>
      <numFmt numFmtId="166" formatCode="&quot;$&quot;#,##0.00"/>
    </dxf>
    <dxf>
      <fill>
        <patternFill patternType="solid">
          <bgColor theme="5" tint="0.39997558519241921"/>
        </patternFill>
      </fill>
    </dxf>
    <dxf>
      <numFmt numFmtId="165" formatCode="[$₹-4009]\ #,##0.00"/>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project.xlsx]Sheet6!PivotTable8</c:name>
    <c:fmtId val="2"/>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0A61-43B0-9399-5029AD9BA5B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0A61-43B0-9399-5029AD9BA5B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0A61-43B0-9399-5029AD9BA5B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0A61-43B0-9399-5029AD9BA5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Sheet6!$A$4:$A$8</c:f>
              <c:strCache>
                <c:ptCount val="4"/>
                <c:pt idx="0">
                  <c:v>East</c:v>
                </c:pt>
                <c:pt idx="1">
                  <c:v>North</c:v>
                </c:pt>
                <c:pt idx="2">
                  <c:v>South</c:v>
                </c:pt>
                <c:pt idx="3">
                  <c:v>West</c:v>
                </c:pt>
              </c:strCache>
            </c:strRef>
          </c:cat>
          <c:val>
            <c:numRef>
              <c:f>Sheet6!$B$4:$B$8</c:f>
              <c:numCache>
                <c:formatCode>General</c:formatCode>
                <c:ptCount val="4"/>
                <c:pt idx="0">
                  <c:v>1281690.0100000002</c:v>
                </c:pt>
                <c:pt idx="1">
                  <c:v>1099602.9299999997</c:v>
                </c:pt>
                <c:pt idx="2">
                  <c:v>1424821.73</c:v>
                </c:pt>
                <c:pt idx="3">
                  <c:v>1229597.9800000002</c:v>
                </c:pt>
              </c:numCache>
            </c:numRef>
          </c:val>
          <c:extLst>
            <c:ext xmlns:c16="http://schemas.microsoft.com/office/drawing/2014/chart" uri="{C3380CC4-5D6E-409C-BE32-E72D297353CC}">
              <c16:uniqueId val="{00000000-4B22-495A-98DF-A62355F849D5}"/>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performance project.xlsx]Sheet6!PivotTable10</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2"/>
        <c:spPr>
          <a:ln w="34925" cap="rnd">
            <a:solidFill>
              <a:schemeClr val="accent4"/>
            </a:solidFill>
            <a:round/>
          </a:ln>
          <a:effectLst>
            <a:outerShdw blurRad="57150" dist="19050" dir="5400000" algn="ctr" rotWithShape="0">
              <a:srgbClr val="000000">
                <a:alpha val="63000"/>
              </a:srgbClr>
            </a:outerShdw>
          </a:effectLst>
        </c:spPr>
        <c:marker>
          <c:symbol val="none"/>
        </c:marker>
      </c:pivotFmt>
    </c:pivotFmts>
    <c:plotArea>
      <c:layout/>
      <c:lineChart>
        <c:grouping val="standard"/>
        <c:varyColors val="0"/>
        <c:ser>
          <c:idx val="0"/>
          <c:order val="0"/>
          <c:tx>
            <c:strRef>
              <c:f>Sheet6!$H$3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multiLvlStrRef>
              <c:f>Sheet6!$G$4:$G$19</c:f>
              <c:multiLvlStrCache>
                <c:ptCount val="13"/>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lvl>
                <c:lvl>
                  <c:pt idx="0">
                    <c:v>2025</c:v>
                  </c:pt>
                  <c:pt idx="8">
                    <c:v>2026</c:v>
                  </c:pt>
                </c:lvl>
              </c:multiLvlStrCache>
            </c:multiLvlStrRef>
          </c:cat>
          <c:val>
            <c:numRef>
              <c:f>Sheet6!$H$4:$H$19</c:f>
              <c:numCache>
                <c:formatCode>General</c:formatCode>
                <c:ptCount val="13"/>
                <c:pt idx="0">
                  <c:v>140362.73000000001</c:v>
                </c:pt>
                <c:pt idx="1">
                  <c:v>390977.1700000001</c:v>
                </c:pt>
                <c:pt idx="2">
                  <c:v>379131.66999999993</c:v>
                </c:pt>
                <c:pt idx="3">
                  <c:v>495213.06999999989</c:v>
                </c:pt>
                <c:pt idx="4">
                  <c:v>378277.18</c:v>
                </c:pt>
                <c:pt idx="5">
                  <c:v>452518.72999999981</c:v>
                </c:pt>
                <c:pt idx="6">
                  <c:v>461223.06999999995</c:v>
                </c:pt>
                <c:pt idx="7">
                  <c:v>390792.21000000014</c:v>
                </c:pt>
                <c:pt idx="8">
                  <c:v>469695.95</c:v>
                </c:pt>
                <c:pt idx="9">
                  <c:v>378006.26000000013</c:v>
                </c:pt>
                <c:pt idx="10">
                  <c:v>245400.33</c:v>
                </c:pt>
                <c:pt idx="11">
                  <c:v>566053.33000000007</c:v>
                </c:pt>
                <c:pt idx="12">
                  <c:v>288060.95000000007</c:v>
                </c:pt>
              </c:numCache>
            </c:numRef>
          </c:val>
          <c:smooth val="0"/>
          <c:extLst>
            <c:ext xmlns:c16="http://schemas.microsoft.com/office/drawing/2014/chart" uri="{C3380CC4-5D6E-409C-BE32-E72D297353CC}">
              <c16:uniqueId val="{00000000-422F-4F8D-8F38-9F6A3C40B35B}"/>
            </c:ext>
          </c:extLst>
        </c:ser>
        <c:dLbls>
          <c:showLegendKey val="0"/>
          <c:showVal val="0"/>
          <c:showCatName val="0"/>
          <c:showSerName val="0"/>
          <c:showPercent val="0"/>
          <c:showBubbleSize val="0"/>
        </c:dLbls>
        <c:smooth val="0"/>
        <c:axId val="141173600"/>
        <c:axId val="141173184"/>
      </c:lineChart>
      <c:catAx>
        <c:axId val="14117360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173184"/>
        <c:crosses val="autoZero"/>
        <c:auto val="1"/>
        <c:lblAlgn val="ctr"/>
        <c:lblOffset val="100"/>
        <c:noMultiLvlLbl val="0"/>
      </c:catAx>
      <c:valAx>
        <c:axId val="141173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173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project.xlsx]Sheet6!PivotTable9</c:name>
    <c:fmtId val="9"/>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Sheet6!$E$3</c:f>
              <c:strCache>
                <c:ptCount val="1"/>
                <c:pt idx="0">
                  <c:v>Total</c:v>
                </c:pt>
              </c:strCache>
            </c:strRef>
          </c:tx>
          <c:spPr>
            <a:solidFill>
              <a:schemeClr val="accent1"/>
            </a:solidFill>
            <a:ln>
              <a:noFill/>
            </a:ln>
            <a:effectLst/>
          </c:spPr>
          <c:invertIfNegative val="0"/>
          <c:cat>
            <c:strRef>
              <c:f>Sheet6!$D$4:$D$14</c:f>
              <c:strCache>
                <c:ptCount val="10"/>
                <c:pt idx="0">
                  <c:v>Biscuits</c:v>
                </c:pt>
                <c:pt idx="1">
                  <c:v>Bread</c:v>
                </c:pt>
                <c:pt idx="2">
                  <c:v>Chocolate</c:v>
                </c:pt>
                <c:pt idx="3">
                  <c:v>Detergent</c:v>
                </c:pt>
                <c:pt idx="4">
                  <c:v>Juice</c:v>
                </c:pt>
                <c:pt idx="5">
                  <c:v>Milk</c:v>
                </c:pt>
                <c:pt idx="6">
                  <c:v>Rice</c:v>
                </c:pt>
                <c:pt idx="7">
                  <c:v>Shampoo</c:v>
                </c:pt>
                <c:pt idx="8">
                  <c:v>Soap</c:v>
                </c:pt>
                <c:pt idx="9">
                  <c:v>Tea Powder</c:v>
                </c:pt>
              </c:strCache>
            </c:strRef>
          </c:cat>
          <c:val>
            <c:numRef>
              <c:f>Sheet6!$E$4:$E$14</c:f>
              <c:numCache>
                <c:formatCode>General</c:formatCode>
                <c:ptCount val="10"/>
                <c:pt idx="0">
                  <c:v>405823.25000000006</c:v>
                </c:pt>
                <c:pt idx="1">
                  <c:v>479009.48999999993</c:v>
                </c:pt>
                <c:pt idx="2">
                  <c:v>558804.70000000019</c:v>
                </c:pt>
                <c:pt idx="3">
                  <c:v>495765.55999999976</c:v>
                </c:pt>
                <c:pt idx="4">
                  <c:v>547773.61999999976</c:v>
                </c:pt>
                <c:pt idx="5">
                  <c:v>451305.43000000023</c:v>
                </c:pt>
                <c:pt idx="6">
                  <c:v>494899.49999999994</c:v>
                </c:pt>
                <c:pt idx="7">
                  <c:v>550721.08000000007</c:v>
                </c:pt>
                <c:pt idx="8">
                  <c:v>456734.08000000013</c:v>
                </c:pt>
                <c:pt idx="9">
                  <c:v>594875.93999999994</c:v>
                </c:pt>
              </c:numCache>
            </c:numRef>
          </c:val>
          <c:extLst>
            <c:ext xmlns:c16="http://schemas.microsoft.com/office/drawing/2014/chart" uri="{C3380CC4-5D6E-409C-BE32-E72D297353CC}">
              <c16:uniqueId val="{00000000-5E3A-4AF7-AFA7-1B1DFCD29C02}"/>
            </c:ext>
          </c:extLst>
        </c:ser>
        <c:dLbls>
          <c:showLegendKey val="0"/>
          <c:showVal val="0"/>
          <c:showCatName val="0"/>
          <c:showSerName val="0"/>
          <c:showPercent val="0"/>
          <c:showBubbleSize val="0"/>
        </c:dLbls>
        <c:gapWidth val="182"/>
        <c:axId val="376622960"/>
        <c:axId val="376622544"/>
      </c:barChart>
      <c:catAx>
        <c:axId val="37662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622544"/>
        <c:crosses val="autoZero"/>
        <c:auto val="1"/>
        <c:lblAlgn val="ctr"/>
        <c:lblOffset val="100"/>
        <c:noMultiLvlLbl val="0"/>
      </c:catAx>
      <c:valAx>
        <c:axId val="376622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6229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project.xlsx]Sheet6!PivotTable1</c:name>
    <c:fmtId val="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Sheet6!$K$9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9C-4B7F-B2F7-842573EC5F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9C-4B7F-B2F7-842573EC5F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9C-4B7F-B2F7-842573EC5F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9C-4B7F-B2F7-842573EC5F92}"/>
              </c:ext>
            </c:extLst>
          </c:dPt>
          <c:cat>
            <c:strRef>
              <c:f>Sheet6!$J$10:$J$14</c:f>
              <c:strCache>
                <c:ptCount val="4"/>
                <c:pt idx="0">
                  <c:v>East</c:v>
                </c:pt>
                <c:pt idx="1">
                  <c:v>North</c:v>
                </c:pt>
                <c:pt idx="2">
                  <c:v>South</c:v>
                </c:pt>
                <c:pt idx="3">
                  <c:v>West</c:v>
                </c:pt>
              </c:strCache>
            </c:strRef>
          </c:cat>
          <c:val>
            <c:numRef>
              <c:f>Sheet6!$K$10:$K$14</c:f>
              <c:numCache>
                <c:formatCode>General</c:formatCode>
                <c:ptCount val="4"/>
                <c:pt idx="0">
                  <c:v>250</c:v>
                </c:pt>
                <c:pt idx="1">
                  <c:v>227</c:v>
                </c:pt>
                <c:pt idx="2">
                  <c:v>281</c:v>
                </c:pt>
                <c:pt idx="3">
                  <c:v>242</c:v>
                </c:pt>
              </c:numCache>
            </c:numRef>
          </c:val>
          <c:extLst>
            <c:ext xmlns:c16="http://schemas.microsoft.com/office/drawing/2014/chart" uri="{C3380CC4-5D6E-409C-BE32-E72D297353CC}">
              <c16:uniqueId val="{00000000-D388-41FA-B49D-1618E3F289D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project.xlsx]Sheet6!PivotTable2</c:name>
    <c:fmtId val="1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Sheet6!$N$3</c:f>
              <c:strCache>
                <c:ptCount val="1"/>
                <c:pt idx="0">
                  <c:v>Total</c:v>
                </c:pt>
              </c:strCache>
            </c:strRef>
          </c:tx>
          <c:spPr>
            <a:solidFill>
              <a:schemeClr val="accent1"/>
            </a:solidFill>
            <a:ln>
              <a:noFill/>
            </a:ln>
            <a:effectLst/>
          </c:spPr>
          <c:invertIfNegative val="0"/>
          <c:cat>
            <c:strRef>
              <c:f>Sheet6!$M$4:$M$14</c:f>
              <c:strCache>
                <c:ptCount val="10"/>
                <c:pt idx="0">
                  <c:v>Biscuits</c:v>
                </c:pt>
                <c:pt idx="1">
                  <c:v>Bread</c:v>
                </c:pt>
                <c:pt idx="2">
                  <c:v>Chocolate</c:v>
                </c:pt>
                <c:pt idx="3">
                  <c:v>Detergent</c:v>
                </c:pt>
                <c:pt idx="4">
                  <c:v>Juice</c:v>
                </c:pt>
                <c:pt idx="5">
                  <c:v>Milk</c:v>
                </c:pt>
                <c:pt idx="6">
                  <c:v>Rice</c:v>
                </c:pt>
                <c:pt idx="7">
                  <c:v>Shampoo</c:v>
                </c:pt>
                <c:pt idx="8">
                  <c:v>Soap</c:v>
                </c:pt>
                <c:pt idx="9">
                  <c:v>Tea Powder</c:v>
                </c:pt>
              </c:strCache>
            </c:strRef>
          </c:cat>
          <c:val>
            <c:numRef>
              <c:f>Sheet6!$N$4:$N$14</c:f>
              <c:numCache>
                <c:formatCode>General</c:formatCode>
                <c:ptCount val="10"/>
                <c:pt idx="0">
                  <c:v>97</c:v>
                </c:pt>
                <c:pt idx="1">
                  <c:v>89</c:v>
                </c:pt>
                <c:pt idx="2">
                  <c:v>122</c:v>
                </c:pt>
                <c:pt idx="3">
                  <c:v>102</c:v>
                </c:pt>
                <c:pt idx="4">
                  <c:v>102</c:v>
                </c:pt>
                <c:pt idx="5">
                  <c:v>88</c:v>
                </c:pt>
                <c:pt idx="6">
                  <c:v>100</c:v>
                </c:pt>
                <c:pt idx="7">
                  <c:v>101</c:v>
                </c:pt>
                <c:pt idx="8">
                  <c:v>98</c:v>
                </c:pt>
                <c:pt idx="9">
                  <c:v>101</c:v>
                </c:pt>
              </c:numCache>
            </c:numRef>
          </c:val>
          <c:extLst>
            <c:ext xmlns:c16="http://schemas.microsoft.com/office/drawing/2014/chart" uri="{C3380CC4-5D6E-409C-BE32-E72D297353CC}">
              <c16:uniqueId val="{00000000-1ABC-47AA-9551-0F28139BBB3D}"/>
            </c:ext>
          </c:extLst>
        </c:ser>
        <c:dLbls>
          <c:showLegendKey val="0"/>
          <c:showVal val="0"/>
          <c:showCatName val="0"/>
          <c:showSerName val="0"/>
          <c:showPercent val="0"/>
          <c:showBubbleSize val="0"/>
        </c:dLbls>
        <c:gapWidth val="219"/>
        <c:overlap val="-27"/>
        <c:axId val="542173152"/>
        <c:axId val="542171488"/>
      </c:barChart>
      <c:catAx>
        <c:axId val="54217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71488"/>
        <c:crosses val="autoZero"/>
        <c:auto val="1"/>
        <c:lblAlgn val="ctr"/>
        <c:lblOffset val="100"/>
        <c:noMultiLvlLbl val="0"/>
      </c:catAx>
      <c:valAx>
        <c:axId val="542171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731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project.xlsx]Sheet6!PivotTable8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F0000"/>
                </a:solidFill>
              </a:rPr>
              <a:t>REGION WISE TOTAL</a:t>
            </a:r>
            <a:r>
              <a:rPr lang="en-US" sz="1200" b="1" baseline="0">
                <a:solidFill>
                  <a:srgbClr val="FF0000"/>
                </a:solidFill>
              </a:rPr>
              <a:t> SALES</a:t>
            </a:r>
            <a:endParaRPr lang="en-US" sz="1200" b="1">
              <a:solidFill>
                <a:srgbClr val="FF0000"/>
              </a:solidFill>
            </a:endParaRPr>
          </a:p>
        </c:rich>
      </c:tx>
      <c:layout>
        <c:manualLayout>
          <c:xMode val="edge"/>
          <c:yMode val="edge"/>
          <c:x val="0.2438116374196681"/>
          <c:y val="8.37841698359133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spPr>
          <a:solidFill>
            <a:schemeClr val="accent1"/>
          </a:solidFill>
          <a:ln w="25400">
            <a:solidFill>
              <a:schemeClr val="lt1"/>
            </a:solidFill>
          </a:ln>
          <a:effectLst/>
          <a:sp3d contourW="25400">
            <a:contourClr>
              <a:schemeClr val="lt1"/>
            </a:contourClr>
          </a:sp3d>
        </c:spPr>
        <c:marker>
          <c:spPr>
            <a:solidFill>
              <a:schemeClr val="accent1"/>
            </a:solidFill>
            <a:ln w="9525">
              <a:solidFill>
                <a:schemeClr val="accent1"/>
              </a:solidFill>
            </a:ln>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3"/>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ext>
          </c:extLst>
        </c:dLbl>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AF8-4CD1-A8FE-BEEF12DE1FE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AF8-4CD1-A8FE-BEEF12DE1FE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AF8-4CD1-A8FE-BEEF12DE1FE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AF8-4CD1-A8FE-BEEF12DE1F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Sheet6!$A$4:$A$8</c:f>
              <c:strCache>
                <c:ptCount val="4"/>
                <c:pt idx="0">
                  <c:v>East</c:v>
                </c:pt>
                <c:pt idx="1">
                  <c:v>North</c:v>
                </c:pt>
                <c:pt idx="2">
                  <c:v>South</c:v>
                </c:pt>
                <c:pt idx="3">
                  <c:v>West</c:v>
                </c:pt>
              </c:strCache>
            </c:strRef>
          </c:cat>
          <c:val>
            <c:numRef>
              <c:f>Sheet6!$B$4:$B$8</c:f>
              <c:numCache>
                <c:formatCode>General</c:formatCode>
                <c:ptCount val="4"/>
                <c:pt idx="0">
                  <c:v>1281690.0100000002</c:v>
                </c:pt>
                <c:pt idx="1">
                  <c:v>1099602.9299999997</c:v>
                </c:pt>
                <c:pt idx="2">
                  <c:v>1424821.73</c:v>
                </c:pt>
                <c:pt idx="3">
                  <c:v>1229597.9800000002</c:v>
                </c:pt>
              </c:numCache>
            </c:numRef>
          </c:val>
          <c:extLst>
            <c:ext xmlns:c16="http://schemas.microsoft.com/office/drawing/2014/chart" uri="{C3380CC4-5D6E-409C-BE32-E72D297353CC}">
              <c16:uniqueId val="{00000008-2AF8-4CD1-A8FE-BEEF12DE1FEC}"/>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performance project.xlsx]Sheet6!PivotTable10</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solidFill>
                  <a:srgbClr val="FF0000"/>
                </a:solidFill>
              </a:rPr>
              <a:t>MONTH</a:t>
            </a:r>
            <a:r>
              <a:rPr lang="en-US" sz="1200" baseline="0">
                <a:solidFill>
                  <a:srgbClr val="FF0000"/>
                </a:solidFill>
              </a:rPr>
              <a:t> WISE TOTAL SALES</a:t>
            </a:r>
            <a:endParaRPr lang="en-US" sz="1200">
              <a:solidFill>
                <a:srgbClr val="FF0000"/>
              </a:solidFill>
            </a:endParaRP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pivotFmt>
    </c:pivotFmts>
    <c:plotArea>
      <c:layout/>
      <c:lineChart>
        <c:grouping val="standard"/>
        <c:varyColors val="0"/>
        <c:ser>
          <c:idx val="0"/>
          <c:order val="0"/>
          <c:tx>
            <c:strRef>
              <c:f>Sheet6!$H$3</c:f>
              <c:strCache>
                <c:ptCount val="1"/>
                <c:pt idx="0">
                  <c:v>Total</c:v>
                </c:pt>
              </c:strCache>
            </c:strRef>
          </c:tx>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cat>
            <c:multiLvlStrRef>
              <c:f>Sheet6!$G$4:$G$19</c:f>
              <c:multiLvlStrCache>
                <c:ptCount val="13"/>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lvl>
                <c:lvl>
                  <c:pt idx="0">
                    <c:v>2025</c:v>
                  </c:pt>
                  <c:pt idx="8">
                    <c:v>2026</c:v>
                  </c:pt>
                </c:lvl>
              </c:multiLvlStrCache>
            </c:multiLvlStrRef>
          </c:cat>
          <c:val>
            <c:numRef>
              <c:f>Sheet6!$H$4:$H$19</c:f>
              <c:numCache>
                <c:formatCode>General</c:formatCode>
                <c:ptCount val="13"/>
                <c:pt idx="0">
                  <c:v>140362.73000000001</c:v>
                </c:pt>
                <c:pt idx="1">
                  <c:v>390977.1700000001</c:v>
                </c:pt>
                <c:pt idx="2">
                  <c:v>379131.66999999993</c:v>
                </c:pt>
                <c:pt idx="3">
                  <c:v>495213.06999999989</c:v>
                </c:pt>
                <c:pt idx="4">
                  <c:v>378277.18</c:v>
                </c:pt>
                <c:pt idx="5">
                  <c:v>452518.72999999981</c:v>
                </c:pt>
                <c:pt idx="6">
                  <c:v>461223.06999999995</c:v>
                </c:pt>
                <c:pt idx="7">
                  <c:v>390792.21000000014</c:v>
                </c:pt>
                <c:pt idx="8">
                  <c:v>469695.95</c:v>
                </c:pt>
                <c:pt idx="9">
                  <c:v>378006.26000000013</c:v>
                </c:pt>
                <c:pt idx="10">
                  <c:v>245400.33</c:v>
                </c:pt>
                <c:pt idx="11">
                  <c:v>566053.33000000007</c:v>
                </c:pt>
                <c:pt idx="12">
                  <c:v>288060.95000000007</c:v>
                </c:pt>
              </c:numCache>
            </c:numRef>
          </c:val>
          <c:smooth val="0"/>
          <c:extLst>
            <c:ext xmlns:c16="http://schemas.microsoft.com/office/drawing/2014/chart" uri="{C3380CC4-5D6E-409C-BE32-E72D297353CC}">
              <c16:uniqueId val="{00000000-D9CF-4D1A-B8F2-B2FBACD3B83E}"/>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1173600"/>
        <c:axId val="141173184"/>
      </c:lineChart>
      <c:catAx>
        <c:axId val="14117360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1173184"/>
        <c:crosses val="autoZero"/>
        <c:auto val="1"/>
        <c:lblAlgn val="ctr"/>
        <c:lblOffset val="100"/>
        <c:noMultiLvlLbl val="0"/>
      </c:catAx>
      <c:valAx>
        <c:axId val="141173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1173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performance project.xlsx]Sheet6!PivotTable9</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solidFill>
                  <a:srgbClr val="FF0000"/>
                </a:solidFill>
              </a:rPr>
              <a:t>PRODUCT</a:t>
            </a:r>
            <a:r>
              <a:rPr lang="en-US" sz="1200" baseline="0">
                <a:solidFill>
                  <a:srgbClr val="FF0000"/>
                </a:solidFill>
              </a:rPr>
              <a:t> WISE TOTAL SALES</a:t>
            </a:r>
            <a:endParaRPr lang="en-US" sz="1200">
              <a:solidFill>
                <a:srgbClr val="FF0000"/>
              </a:solidFill>
            </a:endParaRPr>
          </a:p>
        </c:rich>
      </c:tx>
      <c:layout>
        <c:manualLayout>
          <c:xMode val="edge"/>
          <c:yMode val="edge"/>
          <c:x val="0.2301446574903328"/>
          <c:y val="2.384993791943671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0065891838370501"/>
          <c:y val="0.22205616567665884"/>
          <c:w val="0.5282165982994641"/>
          <c:h val="0.68949987337109175"/>
        </c:manualLayout>
      </c:layout>
      <c:barChart>
        <c:barDir val="bar"/>
        <c:grouping val="clustered"/>
        <c:varyColors val="0"/>
        <c:ser>
          <c:idx val="0"/>
          <c:order val="0"/>
          <c:tx>
            <c:strRef>
              <c:f>Sheet6!$E$3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Sheet6!$D$4:$D$14</c:f>
              <c:strCache>
                <c:ptCount val="10"/>
                <c:pt idx="0">
                  <c:v>Biscuits</c:v>
                </c:pt>
                <c:pt idx="1">
                  <c:v>Bread</c:v>
                </c:pt>
                <c:pt idx="2">
                  <c:v>Chocolate</c:v>
                </c:pt>
                <c:pt idx="3">
                  <c:v>Detergent</c:v>
                </c:pt>
                <c:pt idx="4">
                  <c:v>Juice</c:v>
                </c:pt>
                <c:pt idx="5">
                  <c:v>Milk</c:v>
                </c:pt>
                <c:pt idx="6">
                  <c:v>Rice</c:v>
                </c:pt>
                <c:pt idx="7">
                  <c:v>Shampoo</c:v>
                </c:pt>
                <c:pt idx="8">
                  <c:v>Soap</c:v>
                </c:pt>
                <c:pt idx="9">
                  <c:v>Tea Powder</c:v>
                </c:pt>
              </c:strCache>
            </c:strRef>
          </c:cat>
          <c:val>
            <c:numRef>
              <c:f>Sheet6!$E$4:$E$14</c:f>
              <c:numCache>
                <c:formatCode>General</c:formatCode>
                <c:ptCount val="10"/>
                <c:pt idx="0">
                  <c:v>405823.25000000006</c:v>
                </c:pt>
                <c:pt idx="1">
                  <c:v>479009.48999999993</c:v>
                </c:pt>
                <c:pt idx="2">
                  <c:v>558804.70000000019</c:v>
                </c:pt>
                <c:pt idx="3">
                  <c:v>495765.55999999976</c:v>
                </c:pt>
                <c:pt idx="4">
                  <c:v>547773.61999999976</c:v>
                </c:pt>
                <c:pt idx="5">
                  <c:v>451305.43000000023</c:v>
                </c:pt>
                <c:pt idx="6">
                  <c:v>494899.49999999994</c:v>
                </c:pt>
                <c:pt idx="7">
                  <c:v>550721.08000000007</c:v>
                </c:pt>
                <c:pt idx="8">
                  <c:v>456734.08000000013</c:v>
                </c:pt>
                <c:pt idx="9">
                  <c:v>594875.93999999994</c:v>
                </c:pt>
              </c:numCache>
            </c:numRef>
          </c:val>
          <c:extLst>
            <c:ext xmlns:c16="http://schemas.microsoft.com/office/drawing/2014/chart" uri="{C3380CC4-5D6E-409C-BE32-E72D297353CC}">
              <c16:uniqueId val="{00000000-AF14-42D6-81A5-519740AC79F5}"/>
            </c:ext>
          </c:extLst>
        </c:ser>
        <c:dLbls>
          <c:dLblPos val="outEnd"/>
          <c:showLegendKey val="0"/>
          <c:showVal val="1"/>
          <c:showCatName val="0"/>
          <c:showSerName val="0"/>
          <c:showPercent val="0"/>
          <c:showBubbleSize val="0"/>
        </c:dLbls>
        <c:gapWidth val="65"/>
        <c:axId val="376622960"/>
        <c:axId val="376622544"/>
      </c:barChart>
      <c:catAx>
        <c:axId val="376622960"/>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76622544"/>
        <c:crosses val="autoZero"/>
        <c:auto val="1"/>
        <c:lblAlgn val="ctr"/>
        <c:lblOffset val="100"/>
        <c:noMultiLvlLbl val="0"/>
      </c:catAx>
      <c:valAx>
        <c:axId val="3766225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76622960"/>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project.xlsx]Sheet6!PivotTable1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F0000"/>
                </a:solidFill>
              </a:rPr>
              <a:t>REGION</a:t>
            </a:r>
            <a:r>
              <a:rPr lang="en-US" sz="1200" b="1" baseline="0">
                <a:solidFill>
                  <a:srgbClr val="FF0000"/>
                </a:solidFill>
              </a:rPr>
              <a:t> WISE SALES COUNT</a:t>
            </a:r>
            <a:endParaRPr lang="en-US" sz="1200" b="1">
              <a:solidFill>
                <a:srgbClr val="FF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Sheet6!$K$9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D0-40F9-89B2-4BA821818A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D0-40F9-89B2-4BA821818A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D0-40F9-89B2-4BA821818A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D0-40F9-89B2-4BA821818A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Sheet6!$J$10:$J$14</c:f>
              <c:strCache>
                <c:ptCount val="4"/>
                <c:pt idx="0">
                  <c:v>East</c:v>
                </c:pt>
                <c:pt idx="1">
                  <c:v>North</c:v>
                </c:pt>
                <c:pt idx="2">
                  <c:v>South</c:v>
                </c:pt>
                <c:pt idx="3">
                  <c:v>West</c:v>
                </c:pt>
              </c:strCache>
            </c:strRef>
          </c:cat>
          <c:val>
            <c:numRef>
              <c:f>Sheet6!$K$10:$K$14</c:f>
              <c:numCache>
                <c:formatCode>General</c:formatCode>
                <c:ptCount val="4"/>
                <c:pt idx="0">
                  <c:v>250</c:v>
                </c:pt>
                <c:pt idx="1">
                  <c:v>227</c:v>
                </c:pt>
                <c:pt idx="2">
                  <c:v>281</c:v>
                </c:pt>
                <c:pt idx="3">
                  <c:v>242</c:v>
                </c:pt>
              </c:numCache>
            </c:numRef>
          </c:val>
          <c:extLst>
            <c:ext xmlns:c16="http://schemas.microsoft.com/office/drawing/2014/chart" uri="{C3380CC4-5D6E-409C-BE32-E72D297353CC}">
              <c16:uniqueId val="{00000008-0CD0-40F9-89B2-4BA821818A9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project.xlsx]Sheet6!PivotTable2</c:name>
    <c:fmtId val="1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a:solidFill>
                  <a:schemeClr val="accent2">
                    <a:lumMod val="75000"/>
                  </a:schemeClr>
                </a:solidFill>
              </a:rPr>
              <a:t>PRODUCT WISE SALES COUNT</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Sheet6!$N$3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Sheet6!$M$4:$M$14</c:f>
              <c:strCache>
                <c:ptCount val="10"/>
                <c:pt idx="0">
                  <c:v>Biscuits</c:v>
                </c:pt>
                <c:pt idx="1">
                  <c:v>Bread</c:v>
                </c:pt>
                <c:pt idx="2">
                  <c:v>Chocolate</c:v>
                </c:pt>
                <c:pt idx="3">
                  <c:v>Detergent</c:v>
                </c:pt>
                <c:pt idx="4">
                  <c:v>Juice</c:v>
                </c:pt>
                <c:pt idx="5">
                  <c:v>Milk</c:v>
                </c:pt>
                <c:pt idx="6">
                  <c:v>Rice</c:v>
                </c:pt>
                <c:pt idx="7">
                  <c:v>Shampoo</c:v>
                </c:pt>
                <c:pt idx="8">
                  <c:v>Soap</c:v>
                </c:pt>
                <c:pt idx="9">
                  <c:v>Tea Powder</c:v>
                </c:pt>
              </c:strCache>
            </c:strRef>
          </c:cat>
          <c:val>
            <c:numRef>
              <c:f>Sheet6!$N$4:$N$14</c:f>
              <c:numCache>
                <c:formatCode>General</c:formatCode>
                <c:ptCount val="10"/>
                <c:pt idx="0">
                  <c:v>97</c:v>
                </c:pt>
                <c:pt idx="1">
                  <c:v>89</c:v>
                </c:pt>
                <c:pt idx="2">
                  <c:v>122</c:v>
                </c:pt>
                <c:pt idx="3">
                  <c:v>102</c:v>
                </c:pt>
                <c:pt idx="4">
                  <c:v>102</c:v>
                </c:pt>
                <c:pt idx="5">
                  <c:v>88</c:v>
                </c:pt>
                <c:pt idx="6">
                  <c:v>100</c:v>
                </c:pt>
                <c:pt idx="7">
                  <c:v>101</c:v>
                </c:pt>
                <c:pt idx="8">
                  <c:v>98</c:v>
                </c:pt>
                <c:pt idx="9">
                  <c:v>101</c:v>
                </c:pt>
              </c:numCache>
            </c:numRef>
          </c:val>
          <c:extLst>
            <c:ext xmlns:c16="http://schemas.microsoft.com/office/drawing/2014/chart" uri="{C3380CC4-5D6E-409C-BE32-E72D297353CC}">
              <c16:uniqueId val="{00000000-2EE9-4035-A57C-73FDF79AC67D}"/>
            </c:ext>
          </c:extLst>
        </c:ser>
        <c:dLbls>
          <c:dLblPos val="outEnd"/>
          <c:showLegendKey val="0"/>
          <c:showVal val="1"/>
          <c:showCatName val="0"/>
          <c:showSerName val="0"/>
          <c:showPercent val="0"/>
          <c:showBubbleSize val="0"/>
        </c:dLbls>
        <c:gapWidth val="444"/>
        <c:overlap val="-90"/>
        <c:axId val="542173152"/>
        <c:axId val="542171488"/>
      </c:barChart>
      <c:catAx>
        <c:axId val="542173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42171488"/>
        <c:crosses val="autoZero"/>
        <c:auto val="1"/>
        <c:lblAlgn val="ctr"/>
        <c:lblOffset val="100"/>
        <c:noMultiLvlLbl val="0"/>
      </c:catAx>
      <c:valAx>
        <c:axId val="542171488"/>
        <c:scaling>
          <c:orientation val="minMax"/>
        </c:scaling>
        <c:delete val="1"/>
        <c:axPos val="l"/>
        <c:numFmt formatCode="General" sourceLinked="1"/>
        <c:majorTickMark val="none"/>
        <c:minorTickMark val="none"/>
        <c:tickLblPos val="nextTo"/>
        <c:crossAx val="5421731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project.xlsx]Pivot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F0000"/>
                </a:solidFill>
              </a:rPr>
              <a:t>REGION</a:t>
            </a:r>
            <a:r>
              <a:rPr lang="en-US" sz="1200" b="1" baseline="0">
                <a:solidFill>
                  <a:srgbClr val="FF0000"/>
                </a:solidFill>
              </a:rPr>
              <a:t> AND PRODUCT WISE SALES</a:t>
            </a:r>
            <a:endParaRPr lang="en-US" sz="1200" b="1">
              <a:solidFill>
                <a:srgbClr val="FF0000"/>
              </a:solidFill>
            </a:endParaRPr>
          </a:p>
        </c:rich>
      </c:tx>
      <c:layout>
        <c:manualLayout>
          <c:xMode val="edge"/>
          <c:yMode val="edge"/>
          <c:x val="0.21947437491366212"/>
          <c:y val="0.1384825997469740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col"/>
        <c:grouping val="clustered"/>
        <c:varyColors val="0"/>
        <c:ser>
          <c:idx val="0"/>
          <c:order val="0"/>
          <c:tx>
            <c:strRef>
              <c:f>'Pivot Table'!$B$4:$B$5</c:f>
              <c:strCache>
                <c:ptCount val="1"/>
                <c:pt idx="0">
                  <c:v>East</c:v>
                </c:pt>
              </c:strCache>
            </c:strRef>
          </c:tx>
          <c:spPr>
            <a:solidFill>
              <a:schemeClr val="accent1"/>
            </a:solidFill>
            <a:ln>
              <a:noFill/>
            </a:ln>
            <a:effectLst/>
          </c:spPr>
          <c:invertIfNegative val="0"/>
          <c:cat>
            <c:strRef>
              <c:f>'Pivot Table'!$A$6:$A$16</c:f>
              <c:strCache>
                <c:ptCount val="10"/>
                <c:pt idx="0">
                  <c:v>Biscuits</c:v>
                </c:pt>
                <c:pt idx="1">
                  <c:v>Bread</c:v>
                </c:pt>
                <c:pt idx="2">
                  <c:v>Chocolate</c:v>
                </c:pt>
                <c:pt idx="3">
                  <c:v>Detergent</c:v>
                </c:pt>
                <c:pt idx="4">
                  <c:v>Juice</c:v>
                </c:pt>
                <c:pt idx="5">
                  <c:v>Milk</c:v>
                </c:pt>
                <c:pt idx="6">
                  <c:v>Rice</c:v>
                </c:pt>
                <c:pt idx="7">
                  <c:v>Shampoo</c:v>
                </c:pt>
                <c:pt idx="8">
                  <c:v>Soap</c:v>
                </c:pt>
                <c:pt idx="9">
                  <c:v>Tea Powder</c:v>
                </c:pt>
              </c:strCache>
            </c:strRef>
          </c:cat>
          <c:val>
            <c:numRef>
              <c:f>'Pivot Table'!$B$6:$B$16</c:f>
              <c:numCache>
                <c:formatCode>General</c:formatCode>
                <c:ptCount val="10"/>
                <c:pt idx="0">
                  <c:v>106873</c:v>
                </c:pt>
                <c:pt idx="1">
                  <c:v>94503.540000000023</c:v>
                </c:pt>
                <c:pt idx="2">
                  <c:v>185827.37999999998</c:v>
                </c:pt>
                <c:pt idx="3">
                  <c:v>90863.13</c:v>
                </c:pt>
                <c:pt idx="4">
                  <c:v>130508.29000000001</c:v>
                </c:pt>
                <c:pt idx="5">
                  <c:v>136034.96</c:v>
                </c:pt>
                <c:pt idx="6">
                  <c:v>129331.42000000001</c:v>
                </c:pt>
                <c:pt idx="7">
                  <c:v>167102.03</c:v>
                </c:pt>
                <c:pt idx="8">
                  <c:v>95181.049999999988</c:v>
                </c:pt>
                <c:pt idx="9">
                  <c:v>145465.21</c:v>
                </c:pt>
              </c:numCache>
            </c:numRef>
          </c:val>
          <c:extLst>
            <c:ext xmlns:c16="http://schemas.microsoft.com/office/drawing/2014/chart" uri="{C3380CC4-5D6E-409C-BE32-E72D297353CC}">
              <c16:uniqueId val="{00000000-6AC0-4442-9A4F-044823B2F2C3}"/>
            </c:ext>
          </c:extLst>
        </c:ser>
        <c:ser>
          <c:idx val="1"/>
          <c:order val="1"/>
          <c:tx>
            <c:strRef>
              <c:f>'Pivot Table'!$C$4:$C$5</c:f>
              <c:strCache>
                <c:ptCount val="1"/>
                <c:pt idx="0">
                  <c:v>North</c:v>
                </c:pt>
              </c:strCache>
            </c:strRef>
          </c:tx>
          <c:spPr>
            <a:solidFill>
              <a:schemeClr val="accent3"/>
            </a:solidFill>
            <a:ln>
              <a:noFill/>
            </a:ln>
            <a:effectLst/>
          </c:spPr>
          <c:invertIfNegative val="0"/>
          <c:cat>
            <c:strRef>
              <c:f>'Pivot Table'!$A$6:$A$16</c:f>
              <c:strCache>
                <c:ptCount val="10"/>
                <c:pt idx="0">
                  <c:v>Biscuits</c:v>
                </c:pt>
                <c:pt idx="1">
                  <c:v>Bread</c:v>
                </c:pt>
                <c:pt idx="2">
                  <c:v>Chocolate</c:v>
                </c:pt>
                <c:pt idx="3">
                  <c:v>Detergent</c:v>
                </c:pt>
                <c:pt idx="4">
                  <c:v>Juice</c:v>
                </c:pt>
                <c:pt idx="5">
                  <c:v>Milk</c:v>
                </c:pt>
                <c:pt idx="6">
                  <c:v>Rice</c:v>
                </c:pt>
                <c:pt idx="7">
                  <c:v>Shampoo</c:v>
                </c:pt>
                <c:pt idx="8">
                  <c:v>Soap</c:v>
                </c:pt>
                <c:pt idx="9">
                  <c:v>Tea Powder</c:v>
                </c:pt>
              </c:strCache>
            </c:strRef>
          </c:cat>
          <c:val>
            <c:numRef>
              <c:f>'Pivot Table'!$C$6:$C$16</c:f>
              <c:numCache>
                <c:formatCode>General</c:formatCode>
                <c:ptCount val="10"/>
                <c:pt idx="0">
                  <c:v>96266.540000000008</c:v>
                </c:pt>
                <c:pt idx="1">
                  <c:v>113033.68</c:v>
                </c:pt>
                <c:pt idx="2">
                  <c:v>109834.03000000001</c:v>
                </c:pt>
                <c:pt idx="3">
                  <c:v>86359.489999999991</c:v>
                </c:pt>
                <c:pt idx="4">
                  <c:v>138003.22000000003</c:v>
                </c:pt>
                <c:pt idx="5">
                  <c:v>107326.76</c:v>
                </c:pt>
                <c:pt idx="6">
                  <c:v>103455.9</c:v>
                </c:pt>
                <c:pt idx="7">
                  <c:v>93325.479999999981</c:v>
                </c:pt>
                <c:pt idx="8">
                  <c:v>138100.77999999997</c:v>
                </c:pt>
                <c:pt idx="9">
                  <c:v>113897.05</c:v>
                </c:pt>
              </c:numCache>
            </c:numRef>
          </c:val>
          <c:extLst>
            <c:ext xmlns:c16="http://schemas.microsoft.com/office/drawing/2014/chart" uri="{C3380CC4-5D6E-409C-BE32-E72D297353CC}">
              <c16:uniqueId val="{00000001-6AC0-4442-9A4F-044823B2F2C3}"/>
            </c:ext>
          </c:extLst>
        </c:ser>
        <c:ser>
          <c:idx val="2"/>
          <c:order val="2"/>
          <c:tx>
            <c:strRef>
              <c:f>'Pivot Table'!$D$4:$D$5</c:f>
              <c:strCache>
                <c:ptCount val="1"/>
                <c:pt idx="0">
                  <c:v>South</c:v>
                </c:pt>
              </c:strCache>
            </c:strRef>
          </c:tx>
          <c:spPr>
            <a:solidFill>
              <a:schemeClr val="accent5"/>
            </a:solidFill>
            <a:ln>
              <a:noFill/>
            </a:ln>
            <a:effectLst/>
          </c:spPr>
          <c:invertIfNegative val="0"/>
          <c:cat>
            <c:strRef>
              <c:f>'Pivot Table'!$A$6:$A$16</c:f>
              <c:strCache>
                <c:ptCount val="10"/>
                <c:pt idx="0">
                  <c:v>Biscuits</c:v>
                </c:pt>
                <c:pt idx="1">
                  <c:v>Bread</c:v>
                </c:pt>
                <c:pt idx="2">
                  <c:v>Chocolate</c:v>
                </c:pt>
                <c:pt idx="3">
                  <c:v>Detergent</c:v>
                </c:pt>
                <c:pt idx="4">
                  <c:v>Juice</c:v>
                </c:pt>
                <c:pt idx="5">
                  <c:v>Milk</c:v>
                </c:pt>
                <c:pt idx="6">
                  <c:v>Rice</c:v>
                </c:pt>
                <c:pt idx="7">
                  <c:v>Shampoo</c:v>
                </c:pt>
                <c:pt idx="8">
                  <c:v>Soap</c:v>
                </c:pt>
                <c:pt idx="9">
                  <c:v>Tea Powder</c:v>
                </c:pt>
              </c:strCache>
            </c:strRef>
          </c:cat>
          <c:val>
            <c:numRef>
              <c:f>'Pivot Table'!$D$6:$D$16</c:f>
              <c:numCache>
                <c:formatCode>General</c:formatCode>
                <c:ptCount val="10"/>
                <c:pt idx="0">
                  <c:v>110413.60999999999</c:v>
                </c:pt>
                <c:pt idx="1">
                  <c:v>181254.19999999998</c:v>
                </c:pt>
                <c:pt idx="2">
                  <c:v>130406.71999999996</c:v>
                </c:pt>
                <c:pt idx="3">
                  <c:v>197473.41000000003</c:v>
                </c:pt>
                <c:pt idx="4">
                  <c:v>160161.15999999995</c:v>
                </c:pt>
                <c:pt idx="5">
                  <c:v>93327.27</c:v>
                </c:pt>
                <c:pt idx="6">
                  <c:v>173112.37999999998</c:v>
                </c:pt>
                <c:pt idx="7">
                  <c:v>141456.77999999997</c:v>
                </c:pt>
                <c:pt idx="8">
                  <c:v>63278.239999999998</c:v>
                </c:pt>
                <c:pt idx="9">
                  <c:v>173937.96000000005</c:v>
                </c:pt>
              </c:numCache>
            </c:numRef>
          </c:val>
          <c:extLst>
            <c:ext xmlns:c16="http://schemas.microsoft.com/office/drawing/2014/chart" uri="{C3380CC4-5D6E-409C-BE32-E72D297353CC}">
              <c16:uniqueId val="{00000002-6AC0-4442-9A4F-044823B2F2C3}"/>
            </c:ext>
          </c:extLst>
        </c:ser>
        <c:ser>
          <c:idx val="3"/>
          <c:order val="3"/>
          <c:tx>
            <c:strRef>
              <c:f>'Pivot Table'!$E$4:$E$5</c:f>
              <c:strCache>
                <c:ptCount val="1"/>
                <c:pt idx="0">
                  <c:v>West</c:v>
                </c:pt>
              </c:strCache>
            </c:strRef>
          </c:tx>
          <c:spPr>
            <a:solidFill>
              <a:schemeClr val="accent1">
                <a:lumMod val="60000"/>
              </a:schemeClr>
            </a:solidFill>
            <a:ln>
              <a:noFill/>
            </a:ln>
            <a:effectLst/>
          </c:spPr>
          <c:invertIfNegative val="0"/>
          <c:cat>
            <c:strRef>
              <c:f>'Pivot Table'!$A$6:$A$16</c:f>
              <c:strCache>
                <c:ptCount val="10"/>
                <c:pt idx="0">
                  <c:v>Biscuits</c:v>
                </c:pt>
                <c:pt idx="1">
                  <c:v>Bread</c:v>
                </c:pt>
                <c:pt idx="2">
                  <c:v>Chocolate</c:v>
                </c:pt>
                <c:pt idx="3">
                  <c:v>Detergent</c:v>
                </c:pt>
                <c:pt idx="4">
                  <c:v>Juice</c:v>
                </c:pt>
                <c:pt idx="5">
                  <c:v>Milk</c:v>
                </c:pt>
                <c:pt idx="6">
                  <c:v>Rice</c:v>
                </c:pt>
                <c:pt idx="7">
                  <c:v>Shampoo</c:v>
                </c:pt>
                <c:pt idx="8">
                  <c:v>Soap</c:v>
                </c:pt>
                <c:pt idx="9">
                  <c:v>Tea Powder</c:v>
                </c:pt>
              </c:strCache>
            </c:strRef>
          </c:cat>
          <c:val>
            <c:numRef>
              <c:f>'Pivot Table'!$E$6:$E$16</c:f>
              <c:numCache>
                <c:formatCode>General</c:formatCode>
                <c:ptCount val="10"/>
                <c:pt idx="0">
                  <c:v>92270.10000000002</c:v>
                </c:pt>
                <c:pt idx="1">
                  <c:v>90218.07</c:v>
                </c:pt>
                <c:pt idx="2">
                  <c:v>132736.56999999998</c:v>
                </c:pt>
                <c:pt idx="3">
                  <c:v>121069.53000000003</c:v>
                </c:pt>
                <c:pt idx="4">
                  <c:v>119100.95000000001</c:v>
                </c:pt>
                <c:pt idx="5">
                  <c:v>114616.43999999999</c:v>
                </c:pt>
                <c:pt idx="6">
                  <c:v>88999.799999999988</c:v>
                </c:pt>
                <c:pt idx="7">
                  <c:v>148836.79</c:v>
                </c:pt>
                <c:pt idx="8">
                  <c:v>160174.01</c:v>
                </c:pt>
                <c:pt idx="9">
                  <c:v>161575.71999999994</c:v>
                </c:pt>
              </c:numCache>
            </c:numRef>
          </c:val>
          <c:extLst>
            <c:ext xmlns:c16="http://schemas.microsoft.com/office/drawing/2014/chart" uri="{C3380CC4-5D6E-409C-BE32-E72D297353CC}">
              <c16:uniqueId val="{00000003-6AC0-4442-9A4F-044823B2F2C3}"/>
            </c:ext>
          </c:extLst>
        </c:ser>
        <c:dLbls>
          <c:showLegendKey val="0"/>
          <c:showVal val="0"/>
          <c:showCatName val="0"/>
          <c:showSerName val="0"/>
          <c:showPercent val="0"/>
          <c:showBubbleSize val="0"/>
        </c:dLbls>
        <c:gapWidth val="219"/>
        <c:overlap val="-27"/>
        <c:axId val="542192464"/>
        <c:axId val="542186640"/>
      </c:barChart>
      <c:catAx>
        <c:axId val="54219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86640"/>
        <c:crosses val="autoZero"/>
        <c:auto val="1"/>
        <c:lblAlgn val="ctr"/>
        <c:lblOffset val="100"/>
        <c:noMultiLvlLbl val="0"/>
      </c:catAx>
      <c:valAx>
        <c:axId val="54218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92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289560</xdr:colOff>
      <xdr:row>16</xdr:row>
      <xdr:rowOff>129540</xdr:rowOff>
    </xdr:from>
    <xdr:to>
      <xdr:col>3</xdr:col>
      <xdr:colOff>678180</xdr:colOff>
      <xdr:row>29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457200</xdr:colOff>
      <xdr:row>32</xdr:row>
      <xdr:rowOff>87630</xdr:rowOff>
    </xdr:from>
    <xdr:to>
      <xdr:col>4</xdr:col>
      <xdr:colOff>998220</xdr:colOff>
      <xdr:row>43</xdr:row>
      <xdr:rowOff>114300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548640</xdr:colOff>
      <xdr:row>20</xdr:row>
      <xdr:rowOff>72390</xdr:rowOff>
    </xdr:from>
    <xdr:to>
      <xdr:col>8</xdr:col>
      <xdr:colOff>525780</xdr:colOff>
      <xdr:row>32</xdr:row>
      <xdr:rowOff>45720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419100</xdr:colOff>
      <xdr:row>15</xdr:row>
      <xdr:rowOff>144780</xdr:rowOff>
    </xdr:from>
    <xdr:to>
      <xdr:col>13</xdr:col>
      <xdr:colOff>556260</xdr:colOff>
      <xdr:row>27</xdr:row>
      <xdr:rowOff>3810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541020</xdr:colOff>
      <xdr:row>29</xdr:row>
      <xdr:rowOff>118110</xdr:rowOff>
    </xdr:from>
    <xdr:to>
      <xdr:col>13</xdr:col>
      <xdr:colOff>990600</xdr:colOff>
      <xdr:row>44</xdr:row>
      <xdr:rowOff>118110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335280</xdr:colOff>
      <xdr:row>8</xdr:row>
      <xdr:rowOff>160020</xdr:rowOff>
    </xdr:from>
    <xdr:to>
      <xdr:col>6</xdr:col>
      <xdr:colOff>464820</xdr:colOff>
      <xdr:row>18</xdr:row>
      <xdr:rowOff>68580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312420</xdr:colOff>
      <xdr:row>19</xdr:row>
      <xdr:rowOff>83820</xdr:rowOff>
    </xdr:from>
    <xdr:to>
      <xdr:col>6</xdr:col>
      <xdr:colOff>419100</xdr:colOff>
      <xdr:row>30</xdr:row>
      <xdr:rowOff>144780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502920</xdr:colOff>
      <xdr:row>4</xdr:row>
      <xdr:rowOff>76200</xdr:rowOff>
    </xdr:from>
    <xdr:to>
      <xdr:col>6</xdr:col>
      <xdr:colOff>274320</xdr:colOff>
      <xdr:row>8</xdr:row>
      <xdr:rowOff>53340</xdr:rowOff>
    </xdr:to>
    <xdr:grpSp>
      <xdr:nvGrpSpPr>
        <xdr:cNvPr id="20" name="Group 19"/>
        <xdr:cNvGrpSpPr/>
      </xdr:nvGrpSpPr>
      <xdr:grpSpPr>
        <a:xfrm>
          <a:off x="2331720" y="807720"/>
          <a:ext cx="1600200" cy="708660"/>
          <a:chOff x="777240" y="883920"/>
          <a:chExt cx="1600200" cy="708660"/>
        </a:xfrm>
      </xdr:grpSpPr>
      <xdr:sp macro="" textlink="">
        <xdr:nvSpPr>
          <xdr:cNvPr id="7" name="Rounded Rectangle 6"/>
          <xdr:cNvSpPr/>
        </xdr:nvSpPr>
        <xdr:spPr>
          <a:xfrm>
            <a:off x="777240" y="883920"/>
            <a:ext cx="1600200" cy="708660"/>
          </a:xfrm>
          <a:prstGeom prst="roundRect">
            <a:avLst/>
          </a:prstGeom>
          <a:solidFill>
            <a:srgbClr val="FFFF00"/>
          </a:solidFill>
          <a:ln w="571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TextBox 9"/>
          <xdr:cNvSpPr txBox="1"/>
        </xdr:nvSpPr>
        <xdr:spPr>
          <a:xfrm>
            <a:off x="784860" y="990600"/>
            <a:ext cx="142494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t>        </a:t>
            </a:r>
            <a:r>
              <a:rPr lang="en-US" sz="1200" baseline="0"/>
              <a:t> </a:t>
            </a:r>
            <a:r>
              <a:rPr lang="en-US" sz="1200" b="1"/>
              <a:t>Total</a:t>
            </a:r>
            <a:r>
              <a:rPr lang="en-US" sz="1200" b="1" baseline="0"/>
              <a:t> Sales</a:t>
            </a:r>
          </a:p>
          <a:p>
            <a:r>
              <a:rPr lang="en-US" sz="1200" b="1" i="0" u="none" strike="noStrike" baseline="0">
                <a:solidFill>
                  <a:schemeClr val="dk1"/>
                </a:solidFill>
                <a:effectLst/>
                <a:latin typeface="+mn-lt"/>
                <a:ea typeface="+mn-ea"/>
                <a:cs typeface="+mn-cs"/>
              </a:rPr>
              <a:t>         </a:t>
            </a:r>
            <a:r>
              <a:rPr lang="en-US" sz="1200" b="1" i="0" u="none" strike="noStrike">
                <a:solidFill>
                  <a:schemeClr val="dk1"/>
                </a:solidFill>
                <a:effectLst/>
                <a:latin typeface="+mn-lt"/>
                <a:ea typeface="+mn-ea"/>
                <a:cs typeface="+mn-cs"/>
              </a:rPr>
              <a:t>₹ 5,035,712.65</a:t>
            </a:r>
            <a:r>
              <a:rPr lang="en-US" sz="1200" b="1"/>
              <a:t> </a:t>
            </a:r>
          </a:p>
        </xdr:txBody>
      </xdr:sp>
    </xdr:grpSp>
    <xdr:clientData/>
  </xdr:twoCellAnchor>
  <xdr:twoCellAnchor>
    <xdr:from>
      <xdr:col>9</xdr:col>
      <xdr:colOff>236220</xdr:colOff>
      <xdr:row>4</xdr:row>
      <xdr:rowOff>114300</xdr:rowOff>
    </xdr:from>
    <xdr:to>
      <xdr:col>12</xdr:col>
      <xdr:colOff>7620</xdr:colOff>
      <xdr:row>8</xdr:row>
      <xdr:rowOff>91440</xdr:rowOff>
    </xdr:to>
    <xdr:grpSp>
      <xdr:nvGrpSpPr>
        <xdr:cNvPr id="5" name="Group 4"/>
        <xdr:cNvGrpSpPr/>
      </xdr:nvGrpSpPr>
      <xdr:grpSpPr>
        <a:xfrm>
          <a:off x="5722620" y="845820"/>
          <a:ext cx="1600200" cy="708660"/>
          <a:chOff x="3535680" y="891540"/>
          <a:chExt cx="1600200" cy="708660"/>
        </a:xfrm>
      </xdr:grpSpPr>
      <xdr:sp macro="" textlink="">
        <xdr:nvSpPr>
          <xdr:cNvPr id="11" name="Rounded Rectangle 10"/>
          <xdr:cNvSpPr/>
        </xdr:nvSpPr>
        <xdr:spPr>
          <a:xfrm>
            <a:off x="3535680" y="891540"/>
            <a:ext cx="1600200" cy="708660"/>
          </a:xfrm>
          <a:prstGeom prst="roundRect">
            <a:avLst/>
          </a:prstGeom>
          <a:solidFill>
            <a:srgbClr val="FFFF00"/>
          </a:solidFill>
          <a:ln w="571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xdr:cNvSpPr txBox="1"/>
        </xdr:nvSpPr>
        <xdr:spPr>
          <a:xfrm>
            <a:off x="3634740" y="937260"/>
            <a:ext cx="13792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Average Sales</a:t>
            </a:r>
          </a:p>
          <a:p>
            <a:pPr algn="ctr"/>
            <a:r>
              <a:rPr lang="en-US" sz="1200" b="1" i="0" u="none" strike="noStrike">
                <a:solidFill>
                  <a:schemeClr val="dk1"/>
                </a:solidFill>
                <a:effectLst/>
                <a:latin typeface="+mn-lt"/>
                <a:ea typeface="+mn-ea"/>
                <a:cs typeface="+mn-cs"/>
              </a:rPr>
              <a:t>₹ 5,035.71</a:t>
            </a:r>
            <a:r>
              <a:rPr lang="en-US" sz="1200" b="1"/>
              <a:t> </a:t>
            </a:r>
          </a:p>
        </xdr:txBody>
      </xdr:sp>
    </xdr:grpSp>
    <xdr:clientData/>
  </xdr:twoCellAnchor>
  <xdr:twoCellAnchor>
    <xdr:from>
      <xdr:col>14</xdr:col>
      <xdr:colOff>358140</xdr:colOff>
      <xdr:row>4</xdr:row>
      <xdr:rowOff>106680</xdr:rowOff>
    </xdr:from>
    <xdr:to>
      <xdr:col>17</xdr:col>
      <xdr:colOff>68580</xdr:colOff>
      <xdr:row>8</xdr:row>
      <xdr:rowOff>99060</xdr:rowOff>
    </xdr:to>
    <xdr:grpSp>
      <xdr:nvGrpSpPr>
        <xdr:cNvPr id="21" name="Group 20"/>
        <xdr:cNvGrpSpPr/>
      </xdr:nvGrpSpPr>
      <xdr:grpSpPr>
        <a:xfrm>
          <a:off x="8892540" y="838200"/>
          <a:ext cx="1539240" cy="723900"/>
          <a:chOff x="8587740" y="800100"/>
          <a:chExt cx="1600200" cy="708660"/>
        </a:xfrm>
      </xdr:grpSpPr>
      <xdr:sp macro="" textlink="">
        <xdr:nvSpPr>
          <xdr:cNvPr id="12" name="Rounded Rectangle 11"/>
          <xdr:cNvSpPr/>
        </xdr:nvSpPr>
        <xdr:spPr>
          <a:xfrm>
            <a:off x="8587740" y="800100"/>
            <a:ext cx="1600200" cy="708660"/>
          </a:xfrm>
          <a:prstGeom prst="roundRect">
            <a:avLst/>
          </a:prstGeom>
          <a:solidFill>
            <a:srgbClr val="FFFF00"/>
          </a:solidFill>
          <a:ln w="571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xdr:cNvSpPr txBox="1"/>
        </xdr:nvSpPr>
        <xdr:spPr>
          <a:xfrm>
            <a:off x="8709660" y="883920"/>
            <a:ext cx="1348740" cy="527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 Orders</a:t>
            </a:r>
          </a:p>
          <a:p>
            <a:pPr algn="ctr"/>
            <a:r>
              <a:rPr lang="en-US" sz="1200" b="1"/>
              <a:t>1000</a:t>
            </a:r>
          </a:p>
        </xdr:txBody>
      </xdr:sp>
    </xdr:grpSp>
    <xdr:clientData/>
  </xdr:twoCellAnchor>
  <xdr:twoCellAnchor editAs="oneCell">
    <xdr:from>
      <xdr:col>20</xdr:col>
      <xdr:colOff>373380</xdr:colOff>
      <xdr:row>0</xdr:row>
      <xdr:rowOff>0</xdr:rowOff>
    </xdr:from>
    <xdr:to>
      <xdr:col>23</xdr:col>
      <xdr:colOff>373380</xdr:colOff>
      <xdr:row>7</xdr:row>
      <xdr:rowOff>114300</xdr:rowOff>
    </xdr:to>
    <mc:AlternateContent xmlns:mc="http://schemas.openxmlformats.org/markup-compatibility/2006" xmlns:a14="http://schemas.microsoft.com/office/drawing/2010/main">
      <mc:Choice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565380" y="0"/>
              <a:ext cx="1828800" cy="1394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365760</xdr:colOff>
      <xdr:row>7</xdr:row>
      <xdr:rowOff>106680</xdr:rowOff>
    </xdr:from>
    <xdr:to>
      <xdr:col>23</xdr:col>
      <xdr:colOff>365760</xdr:colOff>
      <xdr:row>19</xdr:row>
      <xdr:rowOff>167639</xdr:rowOff>
    </xdr:to>
    <mc:AlternateContent xmlns:mc="http://schemas.openxmlformats.org/markup-compatibility/2006" xmlns:a14="http://schemas.microsoft.com/office/drawing/2010/main">
      <mc:Choice Requires="a14">
        <xdr:graphicFrame macro="">
          <xdr:nvGraphicFramePr>
            <xdr:cNvPr id="9"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557760" y="1386840"/>
              <a:ext cx="1828800" cy="2255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373380</xdr:colOff>
      <xdr:row>20</xdr:row>
      <xdr:rowOff>15240</xdr:rowOff>
    </xdr:from>
    <xdr:to>
      <xdr:col>23</xdr:col>
      <xdr:colOff>373380</xdr:colOff>
      <xdr:row>33</xdr:row>
      <xdr:rowOff>104775</xdr:rowOff>
    </xdr:to>
    <mc:AlternateContent xmlns:mc="http://schemas.openxmlformats.org/markup-compatibility/2006" xmlns:a14="http://schemas.microsoft.com/office/drawing/2010/main">
      <mc:Choice Requires="a14">
        <xdr:graphicFrame macro="">
          <xdr:nvGraphicFramePr>
            <xdr:cNvPr id="13" name="Order_Date"/>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12565380" y="3672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358140</xdr:colOff>
      <xdr:row>9</xdr:row>
      <xdr:rowOff>68580</xdr:rowOff>
    </xdr:from>
    <xdr:to>
      <xdr:col>13</xdr:col>
      <xdr:colOff>525780</xdr:colOff>
      <xdr:row>20</xdr:row>
      <xdr:rowOff>137160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0</xdr:row>
      <xdr:rowOff>76200</xdr:rowOff>
    </xdr:from>
    <xdr:to>
      <xdr:col>17</xdr:col>
      <xdr:colOff>129540</xdr:colOff>
      <xdr:row>4</xdr:row>
      <xdr:rowOff>0</xdr:rowOff>
    </xdr:to>
    <xdr:grpSp>
      <xdr:nvGrpSpPr>
        <xdr:cNvPr id="22" name="Group 21"/>
        <xdr:cNvGrpSpPr/>
      </xdr:nvGrpSpPr>
      <xdr:grpSpPr>
        <a:xfrm>
          <a:off x="3657600" y="76200"/>
          <a:ext cx="6835140" cy="655320"/>
          <a:chOff x="3657600" y="76200"/>
          <a:chExt cx="6835140" cy="655320"/>
        </a:xfrm>
      </xdr:grpSpPr>
      <xdr:sp macro="" textlink="">
        <xdr:nvSpPr>
          <xdr:cNvPr id="3" name="Rounded Rectangle 2"/>
          <xdr:cNvSpPr/>
        </xdr:nvSpPr>
        <xdr:spPr>
          <a:xfrm>
            <a:off x="3657600" y="76200"/>
            <a:ext cx="6598920" cy="655320"/>
          </a:xfrm>
          <a:prstGeom prst="roundRect">
            <a:avLst/>
          </a:prstGeom>
          <a:gradFill>
            <a:gsLst>
              <a:gs pos="2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63500" dist="50800" dir="189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sp macro="" textlink="">
        <xdr:nvSpPr>
          <xdr:cNvPr id="6" name="TextBox 5"/>
          <xdr:cNvSpPr txBox="1"/>
        </xdr:nvSpPr>
        <xdr:spPr>
          <a:xfrm>
            <a:off x="4206240" y="106680"/>
            <a:ext cx="628650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ln>
                  <a:solidFill>
                    <a:srgbClr val="92D050"/>
                  </a:solidFill>
                </a:ln>
                <a:solidFill>
                  <a:srgbClr val="FF0000"/>
                </a:solidFill>
                <a:latin typeface="Algerian" panose="04020705040A02060702" pitchFamily="82" charset="0"/>
              </a:rPr>
              <a:t>GRACE SUPER STORE SALES ANALYSIS</a:t>
            </a:r>
          </a:p>
        </xdr:txBody>
      </xdr:sp>
    </xdr:grpSp>
    <xdr:clientData/>
  </xdr:twoCellAnchor>
  <xdr:twoCellAnchor>
    <xdr:from>
      <xdr:col>7</xdr:col>
      <xdr:colOff>388620</xdr:colOff>
      <xdr:row>21</xdr:row>
      <xdr:rowOff>99060</xdr:rowOff>
    </xdr:from>
    <xdr:to>
      <xdr:col>13</xdr:col>
      <xdr:colOff>472440</xdr:colOff>
      <xdr:row>32</xdr:row>
      <xdr:rowOff>38100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83820</xdr:colOff>
      <xdr:row>9</xdr:row>
      <xdr:rowOff>68580</xdr:rowOff>
    </xdr:from>
    <xdr:to>
      <xdr:col>19</xdr:col>
      <xdr:colOff>502920</xdr:colOff>
      <xdr:row>20</xdr:row>
      <xdr:rowOff>167640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45720</xdr:colOff>
      <xdr:row>21</xdr:row>
      <xdr:rowOff>38100</xdr:rowOff>
    </xdr:from>
    <xdr:to>
      <xdr:col>20</xdr:col>
      <xdr:colOff>152400</xdr:colOff>
      <xdr:row>32</xdr:row>
      <xdr:rowOff>144780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65.495667129631" createdVersion="6" refreshedVersion="6" minRefreshableVersion="3" recordCount="1000">
  <cacheSource type="worksheet">
    <worksheetSource ref="A2:J1002" sheet="Sales Data"/>
  </cacheSource>
  <cacheFields count="11">
    <cacheField name="Order_ID" numFmtId="0">
      <sharedItems/>
    </cacheField>
    <cacheField name="Order_Date" numFmtId="14">
      <sharedItems containsSemiMixedTypes="0" containsNonDate="0" containsDate="1" containsString="0" minDate="2025-05-23T00:00:00" maxDate="2026-05-23T00:00:00" count="340">
        <d v="2025-06-09T00:00:00"/>
        <d v="2025-10-08T00:00:00"/>
        <d v="2025-11-21T00:00:00"/>
        <d v="2025-11-25T00:00:00"/>
        <d v="2025-11-29T00:00:00"/>
        <d v="2025-12-02T00:00:00"/>
        <d v="2026-02-23T00:00:00"/>
        <d v="2026-04-03T00:00:00"/>
        <d v="2026-03-27T00:00:00"/>
        <d v="2025-10-05T00:00:00"/>
        <d v="2025-08-08T00:00:00"/>
        <d v="2025-07-09T00:00:00"/>
        <d v="2025-12-31T00:00:00"/>
        <d v="2025-08-04T00:00:00"/>
        <d v="2026-04-29T00:00:00"/>
        <d v="2025-12-16T00:00:00"/>
        <d v="2025-08-23T00:00:00"/>
        <d v="2025-10-25T00:00:00"/>
        <d v="2026-03-22T00:00:00"/>
        <d v="2026-01-25T00:00:00"/>
        <d v="2026-02-16T00:00:00"/>
        <d v="2026-05-20T00:00:00"/>
        <d v="2025-06-28T00:00:00"/>
        <d v="2025-12-17T00:00:00"/>
        <d v="2025-10-30T00:00:00"/>
        <d v="2026-05-21T00:00:00"/>
        <d v="2025-05-24T00:00:00"/>
        <d v="2025-09-21T00:00:00"/>
        <d v="2025-10-18T00:00:00"/>
        <d v="2026-04-21T00:00:00"/>
        <d v="2025-09-13T00:00:00"/>
        <d v="2025-09-12T00:00:00"/>
        <d v="2026-01-03T00:00:00"/>
        <d v="2025-11-15T00:00:00"/>
        <d v="2025-10-21T00:00:00"/>
        <d v="2025-07-21T00:00:00"/>
        <d v="2025-06-07T00:00:00"/>
        <d v="2026-01-23T00:00:00"/>
        <d v="2026-02-21T00:00:00"/>
        <d v="2025-06-01T00:00:00"/>
        <d v="2025-09-28T00:00:00"/>
        <d v="2026-05-22T00:00:00"/>
        <d v="2026-01-17T00:00:00"/>
        <d v="2026-03-03T00:00:00"/>
        <d v="2026-01-02T00:00:00"/>
        <d v="2025-09-04T00:00:00"/>
        <d v="2026-02-15T00:00:00"/>
        <d v="2026-04-15T00:00:00"/>
        <d v="2026-01-19T00:00:00"/>
        <d v="2025-11-05T00:00:00"/>
        <d v="2025-12-29T00:00:00"/>
        <d v="2025-08-15T00:00:00"/>
        <d v="2026-04-25T00:00:00"/>
        <d v="2025-06-27T00:00:00"/>
        <d v="2025-11-26T00:00:00"/>
        <d v="2025-12-04T00:00:00"/>
        <d v="2026-04-02T00:00:00"/>
        <d v="2025-12-01T00:00:00"/>
        <d v="2025-11-18T00:00:00"/>
        <d v="2026-02-27T00:00:00"/>
        <d v="2025-10-29T00:00:00"/>
        <d v="2026-03-09T00:00:00"/>
        <d v="2026-01-20T00:00:00"/>
        <d v="2026-05-18T00:00:00"/>
        <d v="2025-07-02T00:00:00"/>
        <d v="2025-08-05T00:00:00"/>
        <d v="2025-09-18T00:00:00"/>
        <d v="2026-02-12T00:00:00"/>
        <d v="2025-10-27T00:00:00"/>
        <d v="2025-07-26T00:00:00"/>
        <d v="2025-12-05T00:00:00"/>
        <d v="2026-05-17T00:00:00"/>
        <d v="2025-06-18T00:00:00"/>
        <d v="2025-07-11T00:00:00"/>
        <d v="2026-01-31T00:00:00"/>
        <d v="2026-05-11T00:00:00"/>
        <d v="2025-11-11T00:00:00"/>
        <d v="2025-06-24T00:00:00"/>
        <d v="2026-03-19T00:00:00"/>
        <d v="2025-12-03T00:00:00"/>
        <d v="2025-12-30T00:00:00"/>
        <d v="2026-03-30T00:00:00"/>
        <d v="2025-07-01T00:00:00"/>
        <d v="2025-06-17T00:00:00"/>
        <d v="2025-12-13T00:00:00"/>
        <d v="2026-03-06T00:00:00"/>
        <d v="2025-12-18T00:00:00"/>
        <d v="2025-07-19T00:00:00"/>
        <d v="2025-08-24T00:00:00"/>
        <d v="2026-04-06T00:00:00"/>
        <d v="2025-08-16T00:00:00"/>
        <d v="2025-11-30T00:00:00"/>
        <d v="2026-01-15T00:00:00"/>
        <d v="2025-12-22T00:00:00"/>
        <d v="2026-04-17T00:00:00"/>
        <d v="2025-10-23T00:00:00"/>
        <d v="2025-05-28T00:00:00"/>
        <d v="2026-01-16T00:00:00"/>
        <d v="2026-02-08T00:00:00"/>
        <d v="2025-07-05T00:00:00"/>
        <d v="2026-04-11T00:00:00"/>
        <d v="2026-05-16T00:00:00"/>
        <d v="2026-05-15T00:00:00"/>
        <d v="2025-06-04T00:00:00"/>
        <d v="2025-11-19T00:00:00"/>
        <d v="2025-11-17T00:00:00"/>
        <d v="2025-08-13T00:00:00"/>
        <d v="2025-12-21T00:00:00"/>
        <d v="2025-06-20T00:00:00"/>
        <d v="2025-12-07T00:00:00"/>
        <d v="2025-07-14T00:00:00"/>
        <d v="2026-04-27T00:00:00"/>
        <d v="2025-11-14T00:00:00"/>
        <d v="2025-11-28T00:00:00"/>
        <d v="2025-10-06T00:00:00"/>
        <d v="2025-10-22T00:00:00"/>
        <d v="2025-09-02T00:00:00"/>
        <d v="2025-06-10T00:00:00"/>
        <d v="2025-08-03T00:00:00"/>
        <d v="2025-05-30T00:00:00"/>
        <d v="2026-04-12T00:00:00"/>
        <d v="2025-09-09T00:00:00"/>
        <d v="2025-06-21T00:00:00"/>
        <d v="2026-04-10T00:00:00"/>
        <d v="2025-11-12T00:00:00"/>
        <d v="2025-10-20T00:00:00"/>
        <d v="2025-10-11T00:00:00"/>
        <d v="2025-06-13T00:00:00"/>
        <d v="2025-09-01T00:00:00"/>
        <d v="2026-04-20T00:00:00"/>
        <d v="2026-01-21T00:00:00"/>
        <d v="2025-07-04T00:00:00"/>
        <d v="2025-07-07T00:00:00"/>
        <d v="2026-01-22T00:00:00"/>
        <d v="2025-08-19T00:00:00"/>
        <d v="2026-03-31T00:00:00"/>
        <d v="2025-06-15T00:00:00"/>
        <d v="2025-07-12T00:00:00"/>
        <d v="2025-06-11T00:00:00"/>
        <d v="2025-10-24T00:00:00"/>
        <d v="2026-05-06T00:00:00"/>
        <d v="2026-03-11T00:00:00"/>
        <d v="2026-04-22T00:00:00"/>
        <d v="2026-01-10T00:00:00"/>
        <d v="2025-05-27T00:00:00"/>
        <d v="2025-08-29T00:00:00"/>
        <d v="2026-02-26T00:00:00"/>
        <d v="2026-04-19T00:00:00"/>
        <d v="2025-08-11T00:00:00"/>
        <d v="2025-07-15T00:00:00"/>
        <d v="2025-08-12T00:00:00"/>
        <d v="2025-11-04T00:00:00"/>
        <d v="2025-11-08T00:00:00"/>
        <d v="2026-03-23T00:00:00"/>
        <d v="2026-02-09T00:00:00"/>
        <d v="2026-05-12T00:00:00"/>
        <d v="2026-01-29T00:00:00"/>
        <d v="2025-08-31T00:00:00"/>
        <d v="2025-12-15T00:00:00"/>
        <d v="2025-10-17T00:00:00"/>
        <d v="2026-01-05T00:00:00"/>
        <d v="2025-11-24T00:00:00"/>
        <d v="2025-06-19T00:00:00"/>
        <d v="2025-06-02T00:00:00"/>
        <d v="2025-07-25T00:00:00"/>
        <d v="2025-12-09T00:00:00"/>
        <d v="2026-02-14T00:00:00"/>
        <d v="2026-05-08T00:00:00"/>
        <d v="2025-07-17T00:00:00"/>
        <d v="2025-06-08T00:00:00"/>
        <d v="2026-02-17T00:00:00"/>
        <d v="2025-09-23T00:00:00"/>
        <d v="2025-08-01T00:00:00"/>
        <d v="2025-06-23T00:00:00"/>
        <d v="2026-04-26T00:00:00"/>
        <d v="2026-03-24T00:00:00"/>
        <d v="2026-01-30T00:00:00"/>
        <d v="2025-08-28T00:00:00"/>
        <d v="2025-06-22T00:00:00"/>
        <d v="2026-02-06T00:00:00"/>
        <d v="2026-02-22T00:00:00"/>
        <d v="2025-05-29T00:00:00"/>
        <d v="2025-12-24T00:00:00"/>
        <d v="2025-08-22T00:00:00"/>
        <d v="2025-11-02T00:00:00"/>
        <d v="2025-07-22T00:00:00"/>
        <d v="2025-10-02T00:00:00"/>
        <d v="2026-02-25T00:00:00"/>
        <d v="2026-01-07T00:00:00"/>
        <d v="2025-08-14T00:00:00"/>
        <d v="2025-08-21T00:00:00"/>
        <d v="2026-01-12T00:00:00"/>
        <d v="2025-09-17T00:00:00"/>
        <d v="2026-01-13T00:00:00"/>
        <d v="2025-09-15T00:00:00"/>
        <d v="2025-09-24T00:00:00"/>
        <d v="2025-06-30T00:00:00"/>
        <d v="2025-10-01T00:00:00"/>
        <d v="2026-04-09T00:00:00"/>
        <d v="2026-04-04T00:00:00"/>
        <d v="2026-04-30T00:00:00"/>
        <d v="2026-02-05T00:00:00"/>
        <d v="2026-04-07T00:00:00"/>
        <d v="2025-11-27T00:00:00"/>
        <d v="2026-05-09T00:00:00"/>
        <d v="2026-04-23T00:00:00"/>
        <d v="2025-06-05T00:00:00"/>
        <d v="2026-04-01T00:00:00"/>
        <d v="2025-10-13T00:00:00"/>
        <d v="2025-08-27T00:00:00"/>
        <d v="2026-04-08T00:00:00"/>
        <d v="2025-08-17T00:00:00"/>
        <d v="2026-01-24T00:00:00"/>
        <d v="2025-06-06T00:00:00"/>
        <d v="2026-02-02T00:00:00"/>
        <d v="2026-03-26T00:00:00"/>
        <d v="2025-07-03T00:00:00"/>
        <d v="2026-01-09T00:00:00"/>
        <d v="2025-12-10T00:00:00"/>
        <d v="2025-07-08T00:00:00"/>
        <d v="2025-12-26T00:00:00"/>
        <d v="2026-05-14T00:00:00"/>
        <d v="2026-01-11T00:00:00"/>
        <d v="2026-02-13T00:00:00"/>
        <d v="2025-12-08T00:00:00"/>
        <d v="2026-02-11T00:00:00"/>
        <d v="2026-01-04T00:00:00"/>
        <d v="2026-01-27T00:00:00"/>
        <d v="2025-10-07T00:00:00"/>
        <d v="2025-05-23T00:00:00"/>
        <d v="2025-12-23T00:00:00"/>
        <d v="2026-04-13T00:00:00"/>
        <d v="2025-08-20T00:00:00"/>
        <d v="2026-03-17T00:00:00"/>
        <d v="2026-05-19T00:00:00"/>
        <d v="2025-12-19T00:00:00"/>
        <d v="2025-12-06T00:00:00"/>
        <d v="2025-09-26T00:00:00"/>
        <d v="2025-06-26T00:00:00"/>
        <d v="2026-03-12T00:00:00"/>
        <d v="2025-07-20T00:00:00"/>
        <d v="2025-06-29T00:00:00"/>
        <d v="2025-05-26T00:00:00"/>
        <d v="2025-08-07T00:00:00"/>
        <d v="2026-02-10T00:00:00"/>
        <d v="2025-11-03T00:00:00"/>
        <d v="2025-09-20T00:00:00"/>
        <d v="2025-09-03T00:00:00"/>
        <d v="2026-03-05T00:00:00"/>
        <d v="2025-10-12T00:00:00"/>
        <d v="2025-09-05T00:00:00"/>
        <d v="2025-07-30T00:00:00"/>
        <d v="2025-09-07T00:00:00"/>
        <d v="2025-10-31T00:00:00"/>
        <d v="2025-10-03T00:00:00"/>
        <d v="2025-09-06T00:00:00"/>
        <d v="2025-10-14T00:00:00"/>
        <d v="2025-07-23T00:00:00"/>
        <d v="2025-08-18T00:00:00"/>
        <d v="2025-11-01T00:00:00"/>
        <d v="2025-09-27T00:00:00"/>
        <d v="2026-05-02T00:00:00"/>
        <d v="2025-08-02T00:00:00"/>
        <d v="2025-08-26T00:00:00"/>
        <d v="2025-11-10T00:00:00"/>
        <d v="2025-06-25T00:00:00"/>
        <d v="2025-07-06T00:00:00"/>
        <d v="2026-02-04T00:00:00"/>
        <d v="2026-01-18T00:00:00"/>
        <d v="2025-05-31T00:00:00"/>
        <d v="2025-07-27T00:00:00"/>
        <d v="2026-04-28T00:00:00"/>
        <d v="2026-02-19T00:00:00"/>
        <d v="2025-09-16T00:00:00"/>
        <d v="2026-01-08T00:00:00"/>
        <d v="2026-03-20T00:00:00"/>
        <d v="2025-12-12T00:00:00"/>
        <d v="2025-11-20T00:00:00"/>
        <d v="2026-03-28T00:00:00"/>
        <d v="2025-09-19T00:00:00"/>
        <d v="2026-01-26T00:00:00"/>
        <d v="2026-04-05T00:00:00"/>
        <d v="2026-01-01T00:00:00"/>
        <d v="2025-09-30T00:00:00"/>
        <d v="2026-03-01T00:00:00"/>
        <d v="2026-02-01T00:00:00"/>
        <d v="2025-09-11T00:00:00"/>
        <d v="2026-05-03T00:00:00"/>
        <d v="2025-08-06T00:00:00"/>
        <d v="2025-07-29T00:00:00"/>
        <d v="2026-04-18T00:00:00"/>
        <d v="2025-09-25T00:00:00"/>
        <d v="2026-01-14T00:00:00"/>
        <d v="2026-05-07T00:00:00"/>
        <d v="2026-02-07T00:00:00"/>
        <d v="2025-07-10T00:00:00"/>
        <d v="2026-05-10T00:00:00"/>
        <d v="2026-02-28T00:00:00"/>
        <d v="2026-03-10T00:00:00"/>
        <d v="2025-06-12T00:00:00"/>
        <d v="2025-09-14T00:00:00"/>
        <d v="2026-03-13T00:00:00"/>
        <d v="2025-07-13T00:00:00"/>
        <d v="2026-03-07T00:00:00"/>
        <d v="2026-02-20T00:00:00"/>
        <d v="2026-02-24T00:00:00"/>
        <d v="2026-03-29T00:00:00"/>
        <d v="2025-10-16T00:00:00"/>
        <d v="2025-08-25T00:00:00"/>
        <d v="2026-04-14T00:00:00"/>
        <d v="2025-11-13T00:00:00"/>
        <d v="2025-12-14T00:00:00"/>
        <d v="2025-11-09T00:00:00"/>
        <d v="2025-11-07T00:00:00"/>
        <d v="2026-03-08T00:00:00"/>
        <d v="2026-03-18T00:00:00"/>
        <d v="2026-03-25T00:00:00"/>
        <d v="2025-12-20T00:00:00"/>
        <d v="2026-03-16T00:00:00"/>
        <d v="2025-07-16T00:00:00"/>
        <d v="2025-07-31T00:00:00"/>
        <d v="2026-04-16T00:00:00"/>
        <d v="2025-05-25T00:00:00"/>
        <d v="2026-04-24T00:00:00"/>
        <d v="2025-08-09T00:00:00"/>
        <d v="2025-12-11T00:00:00"/>
        <d v="2026-05-04T00:00:00"/>
        <d v="2025-12-25T00:00:00"/>
        <d v="2025-12-27T00:00:00"/>
        <d v="2025-11-06T00:00:00"/>
        <d v="2025-11-22T00:00:00"/>
        <d v="2026-05-05T00:00:00"/>
        <d v="2026-02-18T00:00:00"/>
        <d v="2025-10-15T00:00:00"/>
        <d v="2025-07-24T00:00:00"/>
        <d v="2026-03-15T00:00:00"/>
        <d v="2026-01-06T00:00:00"/>
        <d v="2025-06-03T00:00:00"/>
        <d v="2025-09-10T00:00:00"/>
        <d v="2025-09-22T00:00:00"/>
      </sharedItems>
      <fieldGroup par="10" base="1">
        <rangePr groupBy="months" startDate="2025-05-23T00:00:00" endDate="2026-05-23T00:00:00"/>
        <groupItems count="14">
          <s v="&lt;5/23/2025"/>
          <s v="Jan"/>
          <s v="Feb"/>
          <s v="Mar"/>
          <s v="Apr"/>
          <s v="May"/>
          <s v="Jun"/>
          <s v="Jul"/>
          <s v="Aug"/>
          <s v="Sep"/>
          <s v="Oct"/>
          <s v="Nov"/>
          <s v="Dec"/>
          <s v="&gt;5/23/2026"/>
        </groupItems>
      </fieldGroup>
    </cacheField>
    <cacheField name="Region" numFmtId="0">
      <sharedItems count="4">
        <s v="West"/>
        <s v="South"/>
        <s v="North"/>
        <s v="East"/>
      </sharedItems>
    </cacheField>
    <cacheField name="Salesperson" numFmtId="0">
      <sharedItems count="10">
        <s v="Priya"/>
        <s v="Arun"/>
        <s v="Sneha"/>
        <s v="Rahul"/>
        <s v="Vikram"/>
        <s v="Meena"/>
        <s v="Divya"/>
        <s v="Kavin"/>
        <s v="Rohit"/>
        <s v="Anjali"/>
      </sharedItems>
    </cacheField>
    <cacheField name="Product" numFmtId="0">
      <sharedItems count="10">
        <s v="Rice"/>
        <s v="Milk"/>
        <s v="Chocolate"/>
        <s v="Shampoo"/>
        <s v="Tea Powder"/>
        <s v="Juice"/>
        <s v="Biscuits"/>
        <s v="Soap"/>
        <s v="Detergent"/>
        <s v="Bread"/>
      </sharedItems>
    </cacheField>
    <cacheField name="Quantity" numFmtId="0">
      <sharedItems containsSemiMixedTypes="0" containsString="0" containsNumber="1" containsInteger="1" minValue="1" maxValue="20"/>
    </cacheField>
    <cacheField name="Unit_Price" numFmtId="0">
      <sharedItems containsSemiMixedTypes="0" containsString="0" containsNumber="1" minValue="51.23" maxValue="998.65"/>
    </cacheField>
    <cacheField name="Gross_Sales" numFmtId="0">
      <sharedItems containsSemiMixedTypes="0" containsString="0" containsNumber="1" minValue="56.62" maxValue="19426.8"/>
    </cacheField>
    <cacheField name="Discount_Percent" numFmtId="0">
      <sharedItems containsSemiMixedTypes="0" containsString="0" containsNumber="1" containsInteger="1" minValue="0" maxValue="20"/>
    </cacheField>
    <cacheField name="Net_Sales" numFmtId="0">
      <sharedItems containsSemiMixedTypes="0" containsString="0" containsNumber="1" minValue="48.13" maxValue="18760.03" count="1000">
        <n v="4741.1499999999996"/>
        <n v="2392.6"/>
        <n v="9284.3799999999992"/>
        <n v="6210.69"/>
        <n v="6584.44"/>
        <n v="4793.04"/>
        <n v="6838.74"/>
        <n v="421.13"/>
        <n v="200.63"/>
        <n v="2765.12"/>
        <n v="3124.58"/>
        <n v="8845.7000000000007"/>
        <n v="6694.64"/>
        <n v="2736.3"/>
        <n v="6483.33"/>
        <n v="10998.82"/>
        <n v="9032.3700000000008"/>
        <n v="11745.31"/>
        <n v="6114.72"/>
        <n v="11977.31"/>
        <n v="3204.07"/>
        <n v="6319.48"/>
        <n v="10799.9"/>
        <n v="5549.62"/>
        <n v="4801.8599999999997"/>
        <n v="4387.29"/>
        <n v="18163.05"/>
        <n v="4293.63"/>
        <n v="10758.81"/>
        <n v="4669.08"/>
        <n v="7644.54"/>
        <n v="9438.26"/>
        <n v="3640.91"/>
        <n v="11361.8"/>
        <n v="18760.03"/>
        <n v="6859.12"/>
        <n v="11918.08"/>
        <n v="4114.26"/>
        <n v="8818.7999999999993"/>
        <n v="650.11"/>
        <n v="9126.8799999999992"/>
        <n v="8169.66"/>
        <n v="12553.02"/>
        <n v="3403.62"/>
        <n v="8008.73"/>
        <n v="1912.44"/>
        <n v="1444.22"/>
        <n v="3940.87"/>
        <n v="8022.24"/>
        <n v="17484.12"/>
        <n v="3697.32"/>
        <n v="8141.65"/>
        <n v="9027.86"/>
        <n v="3330"/>
        <n v="7227.7"/>
        <n v="3468.32"/>
        <n v="3587.76"/>
        <n v="4434.62"/>
        <n v="10389.6"/>
        <n v="3005.41"/>
        <n v="5479.38"/>
        <n v="3473.1"/>
        <n v="329.44"/>
        <n v="7529.03"/>
        <n v="472.8"/>
        <n v="731.59"/>
        <n v="4293.59"/>
        <n v="55.6"/>
        <n v="9109.58"/>
        <n v="1069.4100000000001"/>
        <n v="1031.8900000000001"/>
        <n v="845.2"/>
        <n v="4222.04"/>
        <n v="919.2"/>
        <n v="5496.14"/>
        <n v="5040.46"/>
        <n v="307.45999999999998"/>
        <n v="5870.51"/>
        <n v="6144.12"/>
        <n v="1514.37"/>
        <n v="8654.7800000000007"/>
        <n v="6658.9"/>
        <n v="4030.03"/>
        <n v="4386.82"/>
        <n v="5093.6099999999997"/>
        <n v="741.01"/>
        <n v="3644.61"/>
        <n v="5820.53"/>
        <n v="7787.78"/>
        <n v="657.76"/>
        <n v="3104.03"/>
        <n v="1484.33"/>
        <n v="1185.1099999999999"/>
        <n v="5118.37"/>
        <n v="271.07"/>
        <n v="4714.5600000000004"/>
        <n v="5517.57"/>
        <n v="4324.7"/>
        <n v="1505.43"/>
        <n v="765.55"/>
        <n v="9935"/>
        <n v="3112.43"/>
        <n v="912.19"/>
        <n v="1433.66"/>
        <n v="6238.65"/>
        <n v="1487.7"/>
        <n v="3990.96"/>
        <n v="10230.19"/>
        <n v="2152.85"/>
        <n v="5932.52"/>
        <n v="1557.77"/>
        <n v="3875.43"/>
        <n v="7078.32"/>
        <n v="8896.7999999999993"/>
        <n v="5338.62"/>
        <n v="2480.1999999999998"/>
        <n v="799.42"/>
        <n v="3621.44"/>
        <n v="4814.08"/>
        <n v="14690.56"/>
        <n v="2923.8"/>
        <n v="5349.89"/>
        <n v="2445.61"/>
        <n v="16789.32"/>
        <n v="5870.3"/>
        <n v="126.7"/>
        <n v="307.02"/>
        <n v="12524.42"/>
        <n v="547.29999999999995"/>
        <n v="3363.5"/>
        <n v="665.77"/>
        <n v="10620.52"/>
        <n v="2331.92"/>
        <n v="6131.93"/>
        <n v="301.73"/>
        <n v="603.4"/>
        <n v="2709.08"/>
        <n v="3568.91"/>
        <n v="3679.3"/>
        <n v="14421.76"/>
        <n v="2692.65"/>
        <n v="4411.99"/>
        <n v="2671.6"/>
        <n v="3657.82"/>
        <n v="4443.32"/>
        <n v="3786.98"/>
        <n v="3026.87"/>
        <n v="1729.15"/>
        <n v="1264.25"/>
        <n v="4068.14"/>
        <n v="2101.54"/>
        <n v="8258.85"/>
        <n v="15621.3"/>
        <n v="9967.08"/>
        <n v="3396.86"/>
        <n v="587.25"/>
        <n v="2943.16"/>
        <n v="1131.01"/>
        <n v="7037.7"/>
        <n v="1099.3599999999999"/>
        <n v="5695.8"/>
        <n v="930.23"/>
        <n v="3208.59"/>
        <n v="4536.2700000000004"/>
        <n v="16746.88"/>
        <n v="2153.88"/>
        <n v="5162.0200000000004"/>
        <n v="5750.34"/>
        <n v="1592.39"/>
        <n v="9877.32"/>
        <n v="2296.73"/>
        <n v="1192.55"/>
        <n v="1207.08"/>
        <n v="3906.05"/>
        <n v="6128.29"/>
        <n v="3921.79"/>
        <n v="4187.6400000000003"/>
        <n v="4034.03"/>
        <n v="2338.6"/>
        <n v="3380.24"/>
        <n v="3662.26"/>
        <n v="10313.24"/>
        <n v="5843.52"/>
        <n v="523.25"/>
        <n v="18022.38"/>
        <n v="5929.62"/>
        <n v="7190.78"/>
        <n v="16848.25"/>
        <n v="13084.9"/>
        <n v="5914.1"/>
        <n v="9846.2999999999993"/>
        <n v="7602.56"/>
        <n v="4683.75"/>
        <n v="2336.2800000000002"/>
        <n v="817.86"/>
        <n v="2335.04"/>
        <n v="7180.44"/>
        <n v="2976.3"/>
        <n v="4144.8599999999997"/>
        <n v="1742.3"/>
        <n v="7461.04"/>
        <n v="5465.34"/>
        <n v="5773.82"/>
        <n v="7856.18"/>
        <n v="8364.82"/>
        <n v="1874.15"/>
        <n v="1850.79"/>
        <n v="14721.9"/>
        <n v="2452.67"/>
        <n v="7750.57"/>
        <n v="5213.3"/>
        <n v="4069.94"/>
        <n v="5349.11"/>
        <n v="362.67"/>
        <n v="13461.12"/>
        <n v="126.36"/>
        <n v="6385.28"/>
        <n v="8778.11"/>
        <n v="15654.19"/>
        <n v="10824.05"/>
        <n v="1241.47"/>
        <n v="3162.28"/>
        <n v="729.84"/>
        <n v="4747.3"/>
        <n v="2488.35"/>
        <n v="2777.98"/>
        <n v="1051.17"/>
        <n v="5099.38"/>
        <n v="7770.84"/>
        <n v="1165.01"/>
        <n v="1632.82"/>
        <n v="250.35"/>
        <n v="6022.34"/>
        <n v="5544.34"/>
        <n v="839.47"/>
        <n v="5166.45"/>
        <n v="2327.35"/>
        <n v="4553.51"/>
        <n v="8113.2"/>
        <n v="12916.12"/>
        <n v="4120.3500000000004"/>
        <n v="2279.62"/>
        <n v="7935.1"/>
        <n v="1587.98"/>
        <n v="1210"/>
        <n v="1595.16"/>
        <n v="12695.17"/>
        <n v="1760.52"/>
        <n v="956.28"/>
        <n v="3078.03"/>
        <n v="2333.52"/>
        <n v="4226.96"/>
        <n v="11760.6"/>
        <n v="48.13"/>
        <n v="3823.56"/>
        <n v="5637.6"/>
        <n v="283.3"/>
        <n v="699.54"/>
        <n v="6005.85"/>
        <n v="5178.1400000000003"/>
        <n v="13282.05"/>
        <n v="3673.65"/>
        <n v="418.15"/>
        <n v="2928.96"/>
        <n v="1620.74"/>
        <n v="2663.22"/>
        <n v="1839.5"/>
        <n v="2687.52"/>
        <n v="7580.16"/>
        <n v="2488.3200000000002"/>
        <n v="3314.7"/>
        <n v="3911.89"/>
        <n v="9027.77"/>
        <n v="10767.82"/>
        <n v="893.9"/>
        <n v="913.03"/>
        <n v="7779.87"/>
        <n v="2638.28"/>
        <n v="507.2"/>
        <n v="1020.25"/>
        <n v="1568.05"/>
        <n v="8599.4500000000007"/>
        <n v="10981.7"/>
        <n v="12360.64"/>
        <n v="11251.01"/>
        <n v="4705.4399999999996"/>
        <n v="7699.57"/>
        <n v="9407.85"/>
        <n v="5108.6000000000004"/>
        <n v="7735.14"/>
        <n v="9562.07"/>
        <n v="11744.59"/>
        <n v="213.87"/>
        <n v="12444.45"/>
        <n v="3125.42"/>
        <n v="4770.88"/>
        <n v="1480.42"/>
        <n v="3911.22"/>
        <n v="582.29999999999995"/>
        <n v="914.64"/>
        <n v="4181.8500000000004"/>
        <n v="11515.52"/>
        <n v="3073.95"/>
        <n v="3038.64"/>
        <n v="2650.71"/>
        <n v="7088.21"/>
        <n v="14845.23"/>
        <n v="2325.1999999999998"/>
        <n v="4815.22"/>
        <n v="2061.9499999999998"/>
        <n v="4357.1899999999996"/>
        <n v="4113.6899999999996"/>
        <n v="12157.21"/>
        <n v="1721.29"/>
        <n v="903.86"/>
        <n v="16397.95"/>
        <n v="9206.07"/>
        <n v="4524.34"/>
        <n v="6659.1"/>
        <n v="3511.04"/>
        <n v="4217.18"/>
        <n v="9644.66"/>
        <n v="5646.85"/>
        <n v="9998.2099999999991"/>
        <n v="4941.8100000000004"/>
        <n v="3763.29"/>
        <n v="6844.9"/>
        <n v="2683.77"/>
        <n v="1734.72"/>
        <n v="7432.54"/>
        <n v="1296.8800000000001"/>
        <n v="10415.02"/>
        <n v="4733.38"/>
        <n v="3603.82"/>
        <n v="9872.2099999999991"/>
        <n v="3012.97"/>
        <n v="4911.0600000000004"/>
        <n v="3665.18"/>
        <n v="9491.4699999999993"/>
        <n v="973.37"/>
        <n v="5086.88"/>
        <n v="1910.73"/>
        <n v="10184.4"/>
        <n v="10039.16"/>
        <n v="16233.89"/>
        <n v="1246.32"/>
        <n v="201.1"/>
        <n v="153.13"/>
        <n v="181.19"/>
        <n v="3233.07"/>
        <n v="9276.65"/>
        <n v="1288.43"/>
        <n v="2664.82"/>
        <n v="15941.13"/>
        <n v="6367.55"/>
        <n v="888.3"/>
        <n v="754.36"/>
        <n v="13828.44"/>
        <n v="987.41"/>
        <n v="2086.2399999999998"/>
        <n v="2132.06"/>
        <n v="2461.9499999999998"/>
        <n v="8333.25"/>
        <n v="692.95"/>
        <n v="4914.5"/>
        <n v="2703.74"/>
        <n v="1318.24"/>
        <n v="1477.56"/>
        <n v="1660.82"/>
        <n v="9731.9500000000007"/>
        <n v="2785.66"/>
        <n v="1639.73"/>
        <n v="8655.31"/>
        <n v="674.06"/>
        <n v="4662.3599999999997"/>
        <n v="5140.8599999999997"/>
        <n v="8739.02"/>
        <n v="885.46"/>
        <n v="2717.62"/>
        <n v="3018.08"/>
        <n v="9679.2099999999991"/>
        <n v="1812.94"/>
        <n v="4156.78"/>
        <n v="1546.37"/>
        <n v="1295.33"/>
        <n v="8532.69"/>
        <n v="10858.8"/>
        <n v="665.71"/>
        <n v="627.91999999999996"/>
        <n v="2312.7600000000002"/>
        <n v="187.7"/>
        <n v="3454.83"/>
        <n v="7021.26"/>
        <n v="2498.04"/>
        <n v="14326.38"/>
        <n v="3922.67"/>
        <n v="1419.69"/>
        <n v="1456.56"/>
        <n v="11656.46"/>
        <n v="5563.03"/>
        <n v="817.92"/>
        <n v="7473.65"/>
        <n v="8285.16"/>
        <n v="5045.67"/>
        <n v="7980.59"/>
        <n v="2875.31"/>
        <n v="874.03"/>
        <n v="8553.0400000000009"/>
        <n v="3067.14"/>
        <n v="557.34"/>
        <n v="1660.24"/>
        <n v="5679.54"/>
        <n v="1788.08"/>
        <n v="4053.6"/>
        <n v="2840.88"/>
        <n v="1551.81"/>
        <n v="1895.11"/>
        <n v="1644.78"/>
        <n v="7941.92"/>
        <n v="8268.61"/>
        <n v="17490.419999999998"/>
        <n v="2663.76"/>
        <n v="3755.24"/>
        <n v="2013.85"/>
        <n v="3970.15"/>
        <n v="5200.16"/>
        <n v="3763.6"/>
        <n v="3252.98"/>
        <n v="1556.56"/>
        <n v="7889.53"/>
        <n v="3542.76"/>
        <n v="10422.94"/>
        <n v="7733.04"/>
        <n v="1129.6500000000001"/>
        <n v="2036.74"/>
        <n v="2363.6"/>
        <n v="773"/>
        <n v="10037.75"/>
        <n v="619.95000000000005"/>
        <n v="9465.48"/>
        <n v="10378.81"/>
        <n v="6713.91"/>
        <n v="10615.7"/>
        <n v="2341.87"/>
        <n v="12365.14"/>
        <n v="3495.1"/>
        <n v="10531.7"/>
        <n v="12801.62"/>
        <n v="9618.07"/>
        <n v="15976.44"/>
        <n v="1497.95"/>
        <n v="5732.4"/>
        <n v="2719.01"/>
        <n v="2132.67"/>
        <n v="584.64"/>
        <n v="3696.3"/>
        <n v="6791.26"/>
        <n v="5438.84"/>
        <n v="15867.72"/>
        <n v="2812.09"/>
        <n v="909.9"/>
        <n v="2965.28"/>
        <n v="5897.78"/>
        <n v="2437.9499999999998"/>
        <n v="2195.61"/>
        <n v="2946.1"/>
        <n v="10336.57"/>
        <n v="16057.09"/>
        <n v="1560.04"/>
        <n v="3096.89"/>
        <n v="5791.25"/>
        <n v="618.03"/>
        <n v="1643.47"/>
        <n v="1683.68"/>
        <n v="2240"/>
        <n v="398.87"/>
        <n v="3817.22"/>
        <n v="9933.98"/>
        <n v="6473.11"/>
        <n v="2824.74"/>
        <n v="693.4"/>
        <n v="5677.83"/>
        <n v="5921.78"/>
        <n v="1407.54"/>
        <n v="1618.98"/>
        <n v="10354.18"/>
        <n v="678.81"/>
        <n v="12015.35"/>
        <n v="1494.14"/>
        <n v="1559.15"/>
        <n v="3615.02"/>
        <n v="5888.28"/>
        <n v="1070.3900000000001"/>
        <n v="2583.83"/>
        <n v="11026.9"/>
        <n v="5947.78"/>
        <n v="6553.94"/>
        <n v="1080.24"/>
        <n v="1840.33"/>
        <n v="6668.14"/>
        <n v="3651.61"/>
        <n v="5333.33"/>
        <n v="2365.9699999999998"/>
        <n v="6065.6"/>
        <n v="2839.86"/>
        <n v="4487.5200000000004"/>
        <n v="2365.8000000000002"/>
        <n v="7301.13"/>
        <n v="7474.3"/>
        <n v="6508.23"/>
        <n v="925.62"/>
        <n v="16458.72"/>
        <n v="6811.62"/>
        <n v="7064.68"/>
        <n v="1018.53"/>
        <n v="6551.52"/>
        <n v="805.77"/>
        <n v="6459.6"/>
        <n v="4462.3999999999996"/>
        <n v="3280.59"/>
        <n v="1052.1400000000001"/>
        <n v="4354.8599999999997"/>
        <n v="942.92"/>
        <n v="2945.32"/>
        <n v="5932.73"/>
        <n v="3764.31"/>
        <n v="4024.04"/>
        <n v="5969.74"/>
        <n v="772.82"/>
        <n v="949.76"/>
        <n v="3059.71"/>
        <n v="9199.1299999999992"/>
        <n v="8163.06"/>
        <n v="10886.26"/>
        <n v="3950.64"/>
        <n v="52.63"/>
        <n v="5940.86"/>
        <n v="346.37"/>
        <n v="5226.9799999999996"/>
        <n v="3226.6"/>
        <n v="6105.62"/>
        <n v="10021.75"/>
        <n v="9119.82"/>
        <n v="4713.6099999999997"/>
        <n v="4752.59"/>
        <n v="290.68"/>
        <n v="3136.86"/>
        <n v="939.87"/>
        <n v="707.3"/>
        <n v="1042.07"/>
        <n v="15479.49"/>
        <n v="3668.7"/>
        <n v="5247.71"/>
        <n v="6527.3"/>
        <n v="8263.36"/>
        <n v="1713.6"/>
        <n v="9653.76"/>
        <n v="13381.92"/>
        <n v="1266.0899999999999"/>
        <n v="1011.02"/>
        <n v="12126.24"/>
        <n v="2453.2800000000002"/>
        <n v="3139.23"/>
        <n v="8830.51"/>
        <n v="1026.6400000000001"/>
        <n v="7280.1"/>
        <n v="287.64999999999998"/>
        <n v="4370.1000000000004"/>
        <n v="2436.3200000000002"/>
        <n v="2601.6999999999998"/>
        <n v="4507.54"/>
        <n v="2057.91"/>
        <n v="2040.24"/>
        <n v="1405.83"/>
        <n v="255.85"/>
        <n v="8544.2800000000007"/>
        <n v="571.23"/>
        <n v="5962.26"/>
        <n v="11062.26"/>
        <n v="10799.04"/>
        <n v="886.48"/>
        <n v="706.79"/>
        <n v="796.7"/>
        <n v="1901.09"/>
        <n v="8018"/>
        <n v="1698.76"/>
        <n v="2128.2800000000002"/>
        <n v="14648.54"/>
        <n v="11833.02"/>
        <n v="5295.91"/>
        <n v="9326.68"/>
        <n v="6345.66"/>
        <n v="1267.57"/>
        <n v="9042.32"/>
        <n v="777.96"/>
        <n v="9127.36"/>
        <n v="485.1"/>
        <n v="11874.14"/>
        <n v="1139.47"/>
        <n v="3573.76"/>
        <n v="6519.17"/>
        <n v="3872.77"/>
        <n v="7063.55"/>
        <n v="9293.68"/>
        <n v="2630.45"/>
        <n v="9832.74"/>
        <n v="2011.85"/>
        <n v="971.04"/>
        <n v="4217.22"/>
        <n v="426.91"/>
        <n v="211.3"/>
        <n v="14425.56"/>
        <n v="5103.47"/>
        <n v="165.65"/>
        <n v="5833.76"/>
        <n v="1440.81"/>
        <n v="9139.92"/>
        <n v="343.81"/>
        <n v="5667.28"/>
        <n v="8657.76"/>
        <n v="3498.3"/>
        <n v="1653.76"/>
        <n v="2722.69"/>
        <n v="7485.07"/>
        <n v="12414.72"/>
        <n v="4713.2"/>
        <n v="8580.77"/>
        <n v="58.08"/>
        <n v="5303.32"/>
        <n v="691.92"/>
        <n v="18135.2"/>
        <n v="1867.84"/>
        <n v="1092.78"/>
        <n v="3399.1"/>
        <n v="1489.73"/>
        <n v="4393.5"/>
        <n v="1997.91"/>
        <n v="6583.3"/>
        <n v="9104.81"/>
        <n v="9728.76"/>
        <n v="1202.1500000000001"/>
        <n v="2329.58"/>
        <n v="4195.5600000000004"/>
        <n v="3746.79"/>
        <n v="5691.33"/>
        <n v="2574.8000000000002"/>
        <n v="4836.2299999999996"/>
        <n v="16365.75"/>
        <n v="3401.5"/>
        <n v="3785.85"/>
        <n v="264.44"/>
        <n v="2202.9"/>
        <n v="827.42"/>
        <n v="4971.3599999999997"/>
        <n v="68.75"/>
        <n v="4097.96"/>
        <n v="2026.41"/>
        <n v="3931.72"/>
        <n v="3546.96"/>
        <n v="1013.45"/>
        <n v="3473.25"/>
        <n v="907.54"/>
        <n v="8362.1200000000008"/>
        <n v="5997.16"/>
        <n v="7572.99"/>
        <n v="813.72"/>
        <n v="12869.6"/>
        <n v="356.08"/>
        <n v="306"/>
        <n v="867.54"/>
        <n v="748.44"/>
        <n v="7240.14"/>
        <n v="377.24"/>
        <n v="10548.48"/>
        <n v="17293.04"/>
        <n v="11257.88"/>
        <n v="195.7"/>
        <n v="8486.83"/>
        <n v="5586.34"/>
        <n v="2728.16"/>
        <n v="2116.0100000000002"/>
        <n v="3139.79"/>
        <n v="1797.23"/>
        <n v="5432.32"/>
        <n v="5807.88"/>
        <n v="4020.28"/>
        <n v="750.41"/>
        <n v="2929.25"/>
        <n v="3434.13"/>
        <n v="8212.94"/>
        <n v="4522.24"/>
        <n v="2785.68"/>
        <n v="1831.3"/>
        <n v="1031.17"/>
        <n v="5671.92"/>
        <n v="8514.07"/>
        <n v="2657.28"/>
        <n v="1818.85"/>
        <n v="2997.97"/>
        <n v="6371.7"/>
        <n v="1103.3"/>
        <n v="7760.66"/>
        <n v="353.34"/>
        <n v="3012.79"/>
        <n v="2687.19"/>
        <n v="5101.7"/>
        <n v="6172.63"/>
        <n v="2700.55"/>
        <n v="11740.33"/>
        <n v="1479.24"/>
        <n v="4428.59"/>
        <n v="563.41999999999996"/>
        <n v="7587.03"/>
        <n v="15819.59"/>
        <n v="17821.05"/>
        <n v="3147.12"/>
        <n v="4190.84"/>
        <n v="13095"/>
        <n v="6538.22"/>
        <n v="212.78"/>
        <n v="3186.41"/>
        <n v="1450.25"/>
        <n v="6462.11"/>
        <n v="4726.4399999999996"/>
        <n v="4893.34"/>
        <n v="882.41"/>
        <n v="6557.28"/>
        <n v="1580.44"/>
        <n v="582.16999999999996"/>
        <n v="1947.6"/>
        <n v="1873.55"/>
        <n v="2447.9499999999998"/>
        <n v="4352.16"/>
        <n v="6080.54"/>
        <n v="9592.2000000000007"/>
        <n v="741.69"/>
        <n v="9054.64"/>
        <n v="12395.88"/>
        <n v="1268.8399999999999"/>
        <n v="6050.84"/>
        <n v="1662.9"/>
        <n v="3277.21"/>
        <n v="1861.46"/>
        <n v="1573.96"/>
        <n v="3347.82"/>
        <n v="10101.81"/>
        <n v="2835.97"/>
        <n v="1579.88"/>
        <n v="3718.8"/>
        <n v="4095"/>
        <n v="909.75"/>
        <n v="3284.95"/>
        <n v="2586.4699999999998"/>
        <n v="2718.22"/>
        <n v="1145.7"/>
        <n v="4762.2700000000004"/>
        <n v="3636.22"/>
        <n v="5153.58"/>
        <n v="6143.87"/>
        <n v="869.66"/>
        <n v="5655.43"/>
        <n v="3418.78"/>
        <n v="5634.4"/>
        <n v="1759.86"/>
        <n v="13593.08"/>
        <n v="164.36"/>
        <n v="623.70000000000005"/>
        <n v="3687.1"/>
        <n v="8114.5"/>
        <n v="301.08999999999997"/>
        <n v="970.16"/>
        <n v="3024.88"/>
        <n v="148.38999999999999"/>
        <n v="560.95000000000005"/>
        <n v="1829.02"/>
        <n v="12726.85"/>
        <n v="8972.74"/>
        <n v="8460.75"/>
        <n v="288.48"/>
        <n v="7524.57"/>
        <n v="1283.67"/>
        <n v="15159.72"/>
        <n v="6343.9"/>
        <n v="9198.4500000000007"/>
        <n v="5898.73"/>
        <n v="10527.33"/>
        <n v="1981.94"/>
        <n v="15413.22"/>
        <n v="2163.81"/>
        <n v="3028.06"/>
        <n v="2757.7"/>
        <n v="13346.17"/>
        <n v="2032.56"/>
        <n v="1678.93"/>
        <n v="8402.94"/>
        <n v="6277.44"/>
        <n v="207.63"/>
        <n v="1316.33"/>
        <n v="6131.44"/>
        <n v="8005.92"/>
        <n v="1365.54"/>
        <n v="5309.01"/>
        <n v="457.72"/>
        <n v="574.49"/>
        <n v="8218.44"/>
        <n v="5943.94"/>
        <n v="14668.02"/>
        <n v="8491.08"/>
        <n v="3292.2"/>
        <n v="9571.39"/>
        <n v="4252.6000000000004"/>
        <n v="10754.86"/>
        <n v="2950.61"/>
        <n v="2034.19"/>
        <n v="6943.49"/>
        <n v="1588.68"/>
        <n v="3288.24"/>
        <n v="575.37"/>
        <n v="683.71"/>
        <n v="9651.3799999999992"/>
        <n v="2587.84"/>
        <n v="2457.2199999999998"/>
        <n v="327.11"/>
        <n v="1010.25"/>
        <n v="9089.92"/>
        <n v="8441.11"/>
        <n v="350.72"/>
        <n v="474.34"/>
        <n v="4668.84"/>
        <n v="5900.36"/>
        <n v="6264.16"/>
        <n v="1514.56"/>
        <n v="1957.25"/>
        <n v="2493.02"/>
        <n v="2951.19"/>
        <n v="8111.46"/>
        <n v="13920.43"/>
        <n v="494.34"/>
        <n v="15975.58"/>
        <n v="2145.67"/>
        <n v="6195.28"/>
        <n v="3050.52"/>
        <n v="8338.84"/>
        <n v="7538.56"/>
        <n v="11543.12"/>
        <n v="3433.22"/>
        <n v="2016.07"/>
        <n v="501.73"/>
        <n v="8347.35"/>
        <n v="198.02"/>
        <n v="9047.7099999999991"/>
        <n v="10953.1"/>
        <n v="1682.36"/>
        <n v="8536.0300000000007"/>
        <n v="1433.82"/>
        <n v="10408.61"/>
        <n v="8836.1"/>
        <n v="2833.38"/>
        <n v="11246.35"/>
        <n v="6998.76"/>
        <n v="7021.51"/>
        <n v="4264.47"/>
        <n v="2933.35"/>
        <n v="5877.76"/>
        <n v="271.83"/>
        <n v="5591.16"/>
        <n v="7266.21"/>
        <n v="2646.14"/>
        <n v="7012.76"/>
        <n v="7262.1"/>
        <n v="8690.2900000000009"/>
        <n v="12666.56"/>
        <n v="893.79"/>
        <n v="754.26"/>
        <n v="1065.26"/>
        <n v="5444.49"/>
        <n v="6945.08"/>
        <n v="4241.24"/>
        <n v="2376.63"/>
        <n v="3617.79"/>
        <n v="1509.04"/>
        <n v="1801.18"/>
        <n v="10411.540000000001"/>
        <n v="8554.39"/>
        <n v="2012.64"/>
        <n v="2719.83"/>
        <n v="10432.6"/>
        <n v="4651.25"/>
        <n v="4970.08"/>
        <n v="13837.54"/>
        <n v="5151.3599999999997"/>
        <n v="1471.8"/>
        <n v="306.66000000000003"/>
        <n v="2662.4"/>
        <n v="15051.99"/>
        <n v="11972.28"/>
        <n v="3071.16"/>
        <n v="5322.26"/>
        <n v="6126.66"/>
        <n v="1721.2"/>
        <n v="12013.82"/>
        <n v="4624.6899999999996"/>
        <n v="1283.6199999999999"/>
        <n v="3118.95"/>
        <n v="8774.4599999999991"/>
        <n v="180.34"/>
        <n v="5553.6"/>
        <n v="5602.5"/>
        <n v="8167.11"/>
        <n v="4271.49"/>
        <n v="6224.58"/>
        <n v="3040.8"/>
        <n v="6093.14"/>
        <n v="4595.84"/>
        <n v="11120.08"/>
        <n v="8350.16"/>
        <n v="7760.02"/>
        <n v="11292.08"/>
        <n v="14579.1"/>
        <n v="2376.7399999999998"/>
        <n v="14670.43"/>
        <n v="6145.33"/>
        <n v="9325.7999999999993"/>
        <n v="4290.46"/>
        <n v="2127.44"/>
        <n v="8566.42"/>
        <n v="9864.27"/>
        <n v="3759.45"/>
        <n v="1341.73"/>
        <n v="3542.44"/>
        <n v="3820.56"/>
        <n v="2593.91"/>
        <n v="528.67999999999995"/>
        <n v="6437.93"/>
        <n v="3405.12"/>
        <n v="7309.12"/>
        <n v="643.48"/>
        <n v="2076.62"/>
        <n v="6858.56"/>
        <n v="1323.79"/>
        <n v="1600.06"/>
        <n v="2004.26"/>
        <n v="8420.4"/>
        <n v="1231.2"/>
        <n v="2294.23"/>
        <n v="775.33"/>
        <n v="6192.4"/>
        <n v="12326.86"/>
        <n v="3709.82"/>
        <n v="305.02"/>
        <n v="3185.81"/>
        <n v="1634.26"/>
        <n v="2735.23"/>
        <n v="2740.62"/>
        <n v="7991.51"/>
        <n v="9363.6"/>
        <n v="3840.88"/>
        <n v="11978.36"/>
        <n v="1824.26"/>
        <n v="4529.4799999999996"/>
        <n v="11862.15"/>
        <n v="10185.620000000001"/>
        <n v="12033.36"/>
        <n v="568.33000000000004"/>
        <n v="2435.96"/>
        <n v="7301.03"/>
        <n v="2991.61"/>
        <n v="7206.4"/>
        <n v="7048.48"/>
        <n v="5156.1899999999996"/>
        <n v="4933.33"/>
        <n v="2686.16"/>
        <n v="5284.33"/>
        <n v="4658.1499999999996"/>
        <n v="4405.1899999999996"/>
        <n v="3976.06"/>
        <n v="4585.3900000000003"/>
        <n v="10779.48"/>
        <n v="17009.099999999999"/>
        <n v="4780.46"/>
        <n v="6055.81"/>
        <n v="8823.06"/>
        <n v="4254.43"/>
        <n v="10203.57"/>
        <n v="7336.16"/>
        <n v="14505.78"/>
        <n v="4979.3999999999996"/>
        <n v="5709.35"/>
        <n v="13905.81"/>
        <n v="2150.8000000000002"/>
        <n v="4768.63"/>
        <n v="2285.14"/>
        <n v="732.47"/>
        <n v="8630.3700000000008"/>
        <n v="5230.8"/>
        <n v="656.33"/>
        <n v="803.09"/>
        <n v="3332.52"/>
        <n v="789.93"/>
        <n v="9250.69"/>
      </sharedItems>
    </cacheField>
    <cacheField name="Years" numFmtId="0" databaseField="0">
      <fieldGroup base="1">
        <rangePr groupBy="years" startDate="2025-05-23T00:00:00" endDate="2026-05-23T00:00:00"/>
        <groupItems count="4">
          <s v="&lt;5/23/2025"/>
          <s v="2025"/>
          <s v="2026"/>
          <s v="&gt;5/23/20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ORD0001"/>
    <x v="0"/>
    <x v="0"/>
    <x v="0"/>
    <x v="0"/>
    <n v="6"/>
    <n v="877.99"/>
    <n v="5267.94"/>
    <n v="10"/>
    <x v="0"/>
  </r>
  <r>
    <s v="ORD0002"/>
    <x v="1"/>
    <x v="1"/>
    <x v="1"/>
    <x v="0"/>
    <n v="5"/>
    <n v="598.15"/>
    <n v="2990.75"/>
    <n v="20"/>
    <x v="1"/>
  </r>
  <r>
    <s v="ORD0003"/>
    <x v="2"/>
    <x v="2"/>
    <x v="2"/>
    <x v="1"/>
    <n v="14"/>
    <n v="663.17"/>
    <n v="9284.3799999999992"/>
    <n v="0"/>
    <x v="2"/>
  </r>
  <r>
    <s v="ORD0004"/>
    <x v="3"/>
    <x v="3"/>
    <x v="3"/>
    <x v="2"/>
    <n v="16"/>
    <n v="485.21"/>
    <n v="7763.36"/>
    <n v="20"/>
    <x v="3"/>
  </r>
  <r>
    <s v="ORD0005"/>
    <x v="4"/>
    <x v="3"/>
    <x v="4"/>
    <x v="3"/>
    <n v="17"/>
    <n v="484.15"/>
    <n v="8230.5499999999993"/>
    <n v="20"/>
    <x v="4"/>
  </r>
  <r>
    <s v="ORD0006"/>
    <x v="5"/>
    <x v="3"/>
    <x v="5"/>
    <x v="4"/>
    <n v="18"/>
    <n v="332.85"/>
    <n v="5991.3"/>
    <n v="20"/>
    <x v="5"/>
  </r>
  <r>
    <s v="ORD0007"/>
    <x v="6"/>
    <x v="2"/>
    <x v="6"/>
    <x v="5"/>
    <n v="11"/>
    <n v="777.13"/>
    <n v="8548.43"/>
    <n v="20"/>
    <x v="6"/>
  </r>
  <r>
    <s v="ORD0008"/>
    <x v="7"/>
    <x v="3"/>
    <x v="2"/>
    <x v="4"/>
    <n v="9"/>
    <n v="55.05"/>
    <n v="495.45"/>
    <n v="15"/>
    <x v="7"/>
  </r>
  <r>
    <s v="ORD0009"/>
    <x v="8"/>
    <x v="0"/>
    <x v="5"/>
    <x v="0"/>
    <n v="3"/>
    <n v="78.680000000000007"/>
    <n v="236.04"/>
    <n v="15"/>
    <x v="8"/>
  </r>
  <r>
    <s v="ORD0010"/>
    <x v="9"/>
    <x v="1"/>
    <x v="3"/>
    <x v="6"/>
    <n v="6"/>
    <n v="512.05999999999995"/>
    <n v="3072.36"/>
    <n v="10"/>
    <x v="9"/>
  </r>
  <r>
    <s v="ORD0011"/>
    <x v="10"/>
    <x v="0"/>
    <x v="1"/>
    <x v="7"/>
    <n v="4"/>
    <n v="976.43"/>
    <n v="3905.72"/>
    <n v="20"/>
    <x v="10"/>
  </r>
  <r>
    <s v="ORD0012"/>
    <x v="11"/>
    <x v="1"/>
    <x v="1"/>
    <x v="6"/>
    <n v="16"/>
    <n v="691.07"/>
    <n v="11057.12"/>
    <n v="20"/>
    <x v="11"/>
  </r>
  <r>
    <s v="ORD0013"/>
    <x v="12"/>
    <x v="1"/>
    <x v="5"/>
    <x v="5"/>
    <n v="13"/>
    <n v="605.85"/>
    <n v="7876.05"/>
    <n v="15"/>
    <x v="12"/>
  </r>
  <r>
    <s v="ORD0014"/>
    <x v="13"/>
    <x v="1"/>
    <x v="6"/>
    <x v="5"/>
    <n v="19"/>
    <n v="180.02"/>
    <n v="3420.38"/>
    <n v="20"/>
    <x v="13"/>
  </r>
  <r>
    <s v="ORD0015"/>
    <x v="14"/>
    <x v="3"/>
    <x v="7"/>
    <x v="4"/>
    <n v="9"/>
    <n v="720.37"/>
    <n v="6483.33"/>
    <n v="0"/>
    <x v="14"/>
  </r>
  <r>
    <s v="ORD0016"/>
    <x v="15"/>
    <x v="1"/>
    <x v="7"/>
    <x v="6"/>
    <n v="13"/>
    <n v="940.07"/>
    <n v="12220.91"/>
    <n v="10"/>
    <x v="15"/>
  </r>
  <r>
    <s v="ORD0017"/>
    <x v="16"/>
    <x v="2"/>
    <x v="0"/>
    <x v="4"/>
    <n v="17"/>
    <n v="559.28"/>
    <n v="9507.76"/>
    <n v="5"/>
    <x v="16"/>
  </r>
  <r>
    <s v="ORD0018"/>
    <x v="17"/>
    <x v="0"/>
    <x v="6"/>
    <x v="5"/>
    <n v="19"/>
    <n v="686.86"/>
    <n v="13050.34"/>
    <n v="10"/>
    <x v="17"/>
  </r>
  <r>
    <s v="ORD0019"/>
    <x v="18"/>
    <x v="1"/>
    <x v="1"/>
    <x v="2"/>
    <n v="9"/>
    <n v="799.31"/>
    <n v="7193.79"/>
    <n v="15"/>
    <x v="18"/>
  </r>
  <r>
    <s v="ORD0020"/>
    <x v="19"/>
    <x v="0"/>
    <x v="7"/>
    <x v="2"/>
    <n v="14"/>
    <n v="950.58"/>
    <n v="13308.12"/>
    <n v="10"/>
    <x v="19"/>
  </r>
  <r>
    <s v="ORD0021"/>
    <x v="20"/>
    <x v="2"/>
    <x v="2"/>
    <x v="4"/>
    <n v="9"/>
    <n v="445.01"/>
    <n v="4005.09"/>
    <n v="20"/>
    <x v="20"/>
  </r>
  <r>
    <s v="ORD0022"/>
    <x v="21"/>
    <x v="0"/>
    <x v="8"/>
    <x v="5"/>
    <n v="12"/>
    <n v="554.34"/>
    <n v="6652.08"/>
    <n v="5"/>
    <x v="21"/>
  </r>
  <r>
    <s v="ORD0023"/>
    <x v="22"/>
    <x v="0"/>
    <x v="3"/>
    <x v="5"/>
    <n v="17"/>
    <n v="794.11"/>
    <n v="13499.87"/>
    <n v="20"/>
    <x v="22"/>
  </r>
  <r>
    <s v="ORD0024"/>
    <x v="23"/>
    <x v="2"/>
    <x v="0"/>
    <x v="3"/>
    <n v="9"/>
    <n v="725.44"/>
    <n v="6528.96"/>
    <n v="15"/>
    <x v="23"/>
  </r>
  <r>
    <s v="ORD0025"/>
    <x v="24"/>
    <x v="3"/>
    <x v="8"/>
    <x v="1"/>
    <n v="7"/>
    <n v="762.2"/>
    <n v="5335.4"/>
    <n v="10"/>
    <x v="24"/>
  </r>
  <r>
    <s v="ORD0026"/>
    <x v="25"/>
    <x v="0"/>
    <x v="5"/>
    <x v="4"/>
    <n v="20"/>
    <n v="230.91"/>
    <n v="4618.2"/>
    <n v="5"/>
    <x v="25"/>
  </r>
  <r>
    <s v="ORD0027"/>
    <x v="26"/>
    <x v="2"/>
    <x v="5"/>
    <x v="7"/>
    <n v="20"/>
    <n v="955.95"/>
    <n v="19119"/>
    <n v="5"/>
    <x v="26"/>
  </r>
  <r>
    <s v="ORD0028"/>
    <x v="3"/>
    <x v="1"/>
    <x v="7"/>
    <x v="6"/>
    <n v="5"/>
    <n v="954.14"/>
    <n v="4770.7"/>
    <n v="10"/>
    <x v="27"/>
  </r>
  <r>
    <s v="ORD0029"/>
    <x v="27"/>
    <x v="2"/>
    <x v="9"/>
    <x v="1"/>
    <n v="17"/>
    <n v="703.19"/>
    <n v="11954.23"/>
    <n v="10"/>
    <x v="28"/>
  </r>
  <r>
    <s v="ORD0030"/>
    <x v="28"/>
    <x v="0"/>
    <x v="3"/>
    <x v="6"/>
    <n v="15"/>
    <n v="389.09"/>
    <n v="5836.35"/>
    <n v="20"/>
    <x v="29"/>
  </r>
  <r>
    <s v="ORD0031"/>
    <x v="29"/>
    <x v="2"/>
    <x v="1"/>
    <x v="4"/>
    <n v="9"/>
    <n v="943.77"/>
    <n v="8493.93"/>
    <n v="10"/>
    <x v="30"/>
  </r>
  <r>
    <s v="ORD0032"/>
    <x v="30"/>
    <x v="1"/>
    <x v="5"/>
    <x v="0"/>
    <n v="17"/>
    <n v="693.99"/>
    <n v="11797.83"/>
    <n v="20"/>
    <x v="31"/>
  </r>
  <r>
    <s v="ORD0033"/>
    <x v="31"/>
    <x v="1"/>
    <x v="6"/>
    <x v="7"/>
    <n v="13"/>
    <n v="280.07"/>
    <n v="3640.91"/>
    <n v="0"/>
    <x v="32"/>
  </r>
  <r>
    <s v="ORD0034"/>
    <x v="1"/>
    <x v="0"/>
    <x v="7"/>
    <x v="2"/>
    <n v="20"/>
    <n v="568.09"/>
    <n v="11361.8"/>
    <n v="0"/>
    <x v="33"/>
  </r>
  <r>
    <s v="ORD0035"/>
    <x v="32"/>
    <x v="1"/>
    <x v="2"/>
    <x v="5"/>
    <n v="19"/>
    <n v="987.37"/>
    <n v="18760.03"/>
    <n v="0"/>
    <x v="34"/>
  </r>
  <r>
    <s v="ORD0036"/>
    <x v="33"/>
    <x v="2"/>
    <x v="2"/>
    <x v="2"/>
    <n v="13"/>
    <n v="586.25"/>
    <n v="7621.25"/>
    <n v="10"/>
    <x v="35"/>
  </r>
  <r>
    <s v="ORD0037"/>
    <x v="34"/>
    <x v="1"/>
    <x v="5"/>
    <x v="5"/>
    <n v="20"/>
    <n v="744.88"/>
    <n v="14897.6"/>
    <n v="20"/>
    <x v="36"/>
  </r>
  <r>
    <s v="ORD0038"/>
    <x v="35"/>
    <x v="1"/>
    <x v="4"/>
    <x v="1"/>
    <n v="10"/>
    <n v="433.08"/>
    <n v="4330.8"/>
    <n v="5"/>
    <x v="37"/>
  </r>
  <r>
    <s v="ORD0039"/>
    <x v="36"/>
    <x v="2"/>
    <x v="6"/>
    <x v="2"/>
    <n v="15"/>
    <n v="587.91999999999996"/>
    <n v="8818.7999999999993"/>
    <n v="0"/>
    <x v="38"/>
  </r>
  <r>
    <s v="ORD0040"/>
    <x v="26"/>
    <x v="3"/>
    <x v="2"/>
    <x v="4"/>
    <n v="11"/>
    <n v="69.53"/>
    <n v="764.83"/>
    <n v="15"/>
    <x v="39"/>
  </r>
  <r>
    <s v="ORD0041"/>
    <x v="37"/>
    <x v="3"/>
    <x v="4"/>
    <x v="1"/>
    <n v="16"/>
    <n v="570.42999999999995"/>
    <n v="9126.8799999999992"/>
    <n v="0"/>
    <x v="40"/>
  </r>
  <r>
    <s v="ORD0042"/>
    <x v="38"/>
    <x v="0"/>
    <x v="3"/>
    <x v="0"/>
    <n v="18"/>
    <n v="453.87"/>
    <n v="8169.66"/>
    <n v="0"/>
    <x v="41"/>
  </r>
  <r>
    <s v="ORD0043"/>
    <x v="39"/>
    <x v="0"/>
    <x v="6"/>
    <x v="5"/>
    <n v="18"/>
    <n v="697.39"/>
    <n v="12553.02"/>
    <n v="0"/>
    <x v="42"/>
  </r>
  <r>
    <s v="ORD0044"/>
    <x v="40"/>
    <x v="1"/>
    <x v="4"/>
    <x v="8"/>
    <n v="18"/>
    <n v="210.1"/>
    <n v="3781.8"/>
    <n v="10"/>
    <x v="43"/>
  </r>
  <r>
    <s v="ORD0045"/>
    <x v="35"/>
    <x v="1"/>
    <x v="3"/>
    <x v="3"/>
    <n v="12"/>
    <n v="702.52"/>
    <n v="8430.24"/>
    <n v="5"/>
    <x v="44"/>
  </r>
  <r>
    <s v="ORD0046"/>
    <x v="41"/>
    <x v="1"/>
    <x v="7"/>
    <x v="7"/>
    <n v="10"/>
    <n v="201.31"/>
    <n v="2013.1"/>
    <n v="5"/>
    <x v="45"/>
  </r>
  <r>
    <s v="ORD0047"/>
    <x v="42"/>
    <x v="3"/>
    <x v="2"/>
    <x v="1"/>
    <n v="2"/>
    <n v="722.11"/>
    <n v="1444.22"/>
    <n v="0"/>
    <x v="46"/>
  </r>
  <r>
    <s v="ORD0048"/>
    <x v="43"/>
    <x v="0"/>
    <x v="1"/>
    <x v="4"/>
    <n v="6"/>
    <n v="729.79"/>
    <n v="4378.74"/>
    <n v="10"/>
    <x v="47"/>
  </r>
  <r>
    <s v="ORD0049"/>
    <x v="44"/>
    <x v="1"/>
    <x v="4"/>
    <x v="2"/>
    <n v="20"/>
    <n v="445.68"/>
    <n v="8913.6"/>
    <n v="10"/>
    <x v="48"/>
  </r>
  <r>
    <s v="ORD0050"/>
    <x v="45"/>
    <x v="3"/>
    <x v="7"/>
    <x v="3"/>
    <n v="20"/>
    <n v="971.34"/>
    <n v="19426.8"/>
    <n v="10"/>
    <x v="49"/>
  </r>
  <r>
    <s v="ORD0051"/>
    <x v="46"/>
    <x v="0"/>
    <x v="9"/>
    <x v="8"/>
    <n v="17"/>
    <n v="255.87"/>
    <n v="4349.79"/>
    <n v="15"/>
    <x v="50"/>
  </r>
  <r>
    <s v="ORD0052"/>
    <x v="47"/>
    <x v="2"/>
    <x v="9"/>
    <x v="0"/>
    <n v="18"/>
    <n v="476.12"/>
    <n v="8570.16"/>
    <n v="5"/>
    <x v="51"/>
  </r>
  <r>
    <s v="ORD0053"/>
    <x v="48"/>
    <x v="0"/>
    <x v="9"/>
    <x v="8"/>
    <n v="11"/>
    <n v="863.91"/>
    <n v="9503.01"/>
    <n v="5"/>
    <x v="52"/>
  </r>
  <r>
    <s v="ORD0054"/>
    <x v="49"/>
    <x v="1"/>
    <x v="5"/>
    <x v="9"/>
    <n v="5"/>
    <n v="832.5"/>
    <n v="4162.5"/>
    <n v="20"/>
    <x v="53"/>
  </r>
  <r>
    <s v="ORD0055"/>
    <x v="50"/>
    <x v="2"/>
    <x v="3"/>
    <x v="1"/>
    <n v="14"/>
    <n v="607.37"/>
    <n v="8503.18"/>
    <n v="15"/>
    <x v="54"/>
  </r>
  <r>
    <s v="ORD0056"/>
    <x v="51"/>
    <x v="3"/>
    <x v="7"/>
    <x v="6"/>
    <n v="8"/>
    <n v="433.54"/>
    <n v="3468.32"/>
    <n v="0"/>
    <x v="55"/>
  </r>
  <r>
    <s v="ORD0057"/>
    <x v="52"/>
    <x v="3"/>
    <x v="5"/>
    <x v="5"/>
    <n v="5"/>
    <n v="896.94"/>
    <n v="4484.7"/>
    <n v="20"/>
    <x v="56"/>
  </r>
  <r>
    <s v="ORD0058"/>
    <x v="53"/>
    <x v="2"/>
    <x v="9"/>
    <x v="2"/>
    <n v="16"/>
    <n v="307.95999999999998"/>
    <n v="4927.3599999999997"/>
    <n v="10"/>
    <x v="57"/>
  </r>
  <r>
    <s v="ORD0059"/>
    <x v="54"/>
    <x v="3"/>
    <x v="3"/>
    <x v="5"/>
    <n v="18"/>
    <n v="721.5"/>
    <n v="12987"/>
    <n v="20"/>
    <x v="58"/>
  </r>
  <r>
    <s v="ORD0060"/>
    <x v="55"/>
    <x v="0"/>
    <x v="3"/>
    <x v="3"/>
    <n v="14"/>
    <n v="268.33999999999997"/>
    <n v="3756.76"/>
    <n v="20"/>
    <x v="59"/>
  </r>
  <r>
    <s v="ORD0061"/>
    <x v="56"/>
    <x v="3"/>
    <x v="2"/>
    <x v="3"/>
    <n v="7"/>
    <n v="978.46"/>
    <n v="6849.22"/>
    <n v="20"/>
    <x v="60"/>
  </r>
  <r>
    <s v="ORD0062"/>
    <x v="57"/>
    <x v="0"/>
    <x v="8"/>
    <x v="9"/>
    <n v="9"/>
    <n v="406.21"/>
    <n v="3655.89"/>
    <n v="5"/>
    <x v="61"/>
  </r>
  <r>
    <s v="ORD0063"/>
    <x v="58"/>
    <x v="3"/>
    <x v="1"/>
    <x v="7"/>
    <n v="1"/>
    <n v="411.8"/>
    <n v="411.8"/>
    <n v="20"/>
    <x v="62"/>
  </r>
  <r>
    <s v="ORD0064"/>
    <x v="59"/>
    <x v="0"/>
    <x v="2"/>
    <x v="1"/>
    <n v="9"/>
    <n v="929.51"/>
    <n v="8365.59"/>
    <n v="10"/>
    <x v="63"/>
  </r>
  <r>
    <s v="ORD0065"/>
    <x v="60"/>
    <x v="1"/>
    <x v="6"/>
    <x v="1"/>
    <n v="3"/>
    <n v="185.41"/>
    <n v="556.23"/>
    <n v="15"/>
    <x v="64"/>
  </r>
  <r>
    <s v="ORD0066"/>
    <x v="61"/>
    <x v="0"/>
    <x v="7"/>
    <x v="4"/>
    <n v="9"/>
    <n v="101.61"/>
    <n v="914.49"/>
    <n v="20"/>
    <x v="65"/>
  </r>
  <r>
    <s v="ORD0067"/>
    <x v="62"/>
    <x v="2"/>
    <x v="4"/>
    <x v="7"/>
    <n v="7"/>
    <n v="613.37"/>
    <n v="4293.59"/>
    <n v="0"/>
    <x v="66"/>
  </r>
  <r>
    <s v="ORD0068"/>
    <x v="63"/>
    <x v="3"/>
    <x v="1"/>
    <x v="5"/>
    <n v="1"/>
    <n v="61.78"/>
    <n v="61.78"/>
    <n v="10"/>
    <x v="67"/>
  </r>
  <r>
    <s v="ORD0069"/>
    <x v="64"/>
    <x v="1"/>
    <x v="2"/>
    <x v="3"/>
    <n v="18"/>
    <n v="632.61"/>
    <n v="11386.98"/>
    <n v="20"/>
    <x v="68"/>
  </r>
  <r>
    <s v="ORD0070"/>
    <x v="65"/>
    <x v="2"/>
    <x v="6"/>
    <x v="7"/>
    <n v="5"/>
    <n v="225.14"/>
    <n v="1125.7"/>
    <n v="5"/>
    <x v="69"/>
  </r>
  <r>
    <s v="ORD0071"/>
    <x v="66"/>
    <x v="1"/>
    <x v="9"/>
    <x v="5"/>
    <n v="5"/>
    <n v="229.31"/>
    <n v="1146.55"/>
    <n v="10"/>
    <x v="70"/>
  </r>
  <r>
    <s v="ORD0072"/>
    <x v="67"/>
    <x v="0"/>
    <x v="1"/>
    <x v="7"/>
    <n v="8"/>
    <n v="111.21"/>
    <n v="889.68"/>
    <n v="5"/>
    <x v="71"/>
  </r>
  <r>
    <s v="ORD0073"/>
    <x v="68"/>
    <x v="1"/>
    <x v="8"/>
    <x v="0"/>
    <n v="18"/>
    <n v="260.62"/>
    <n v="4691.16"/>
    <n v="10"/>
    <x v="72"/>
  </r>
  <r>
    <s v="ORD0074"/>
    <x v="69"/>
    <x v="2"/>
    <x v="0"/>
    <x v="6"/>
    <n v="16"/>
    <n v="57.45"/>
    <n v="919.2"/>
    <n v="0"/>
    <x v="73"/>
  </r>
  <r>
    <s v="ORD0075"/>
    <x v="6"/>
    <x v="0"/>
    <x v="8"/>
    <x v="7"/>
    <n v="13"/>
    <n v="422.78"/>
    <n v="5496.14"/>
    <n v="0"/>
    <x v="74"/>
  </r>
  <r>
    <s v="ORD0076"/>
    <x v="70"/>
    <x v="1"/>
    <x v="6"/>
    <x v="3"/>
    <n v="19"/>
    <n v="279.25"/>
    <n v="5305.75"/>
    <n v="5"/>
    <x v="75"/>
  </r>
  <r>
    <s v="ORD0077"/>
    <x v="71"/>
    <x v="2"/>
    <x v="4"/>
    <x v="8"/>
    <n v="1"/>
    <n v="307.45999999999998"/>
    <n v="307.45999999999998"/>
    <n v="0"/>
    <x v="76"/>
  </r>
  <r>
    <s v="ORD0078"/>
    <x v="72"/>
    <x v="2"/>
    <x v="2"/>
    <x v="3"/>
    <n v="14"/>
    <n v="493.32"/>
    <n v="6906.48"/>
    <n v="15"/>
    <x v="77"/>
  </r>
  <r>
    <s v="ORD0079"/>
    <x v="7"/>
    <x v="1"/>
    <x v="6"/>
    <x v="4"/>
    <n v="20"/>
    <n v="341.34"/>
    <n v="6826.8"/>
    <n v="10"/>
    <x v="78"/>
  </r>
  <r>
    <s v="ORD0080"/>
    <x v="73"/>
    <x v="0"/>
    <x v="8"/>
    <x v="1"/>
    <n v="8"/>
    <n v="236.62"/>
    <n v="1892.96"/>
    <n v="20"/>
    <x v="79"/>
  </r>
  <r>
    <s v="ORD0081"/>
    <x v="74"/>
    <x v="2"/>
    <x v="4"/>
    <x v="7"/>
    <n v="11"/>
    <n v="874.22"/>
    <n v="9616.42"/>
    <n v="10"/>
    <x v="80"/>
  </r>
  <r>
    <s v="ORD0082"/>
    <x v="75"/>
    <x v="1"/>
    <x v="4"/>
    <x v="5"/>
    <n v="17"/>
    <n v="391.7"/>
    <n v="6658.9"/>
    <n v="0"/>
    <x v="81"/>
  </r>
  <r>
    <s v="ORD0083"/>
    <x v="76"/>
    <x v="3"/>
    <x v="7"/>
    <x v="5"/>
    <n v="14"/>
    <n v="303.01"/>
    <n v="4242.1400000000003"/>
    <n v="5"/>
    <x v="82"/>
  </r>
  <r>
    <s v="ORD0084"/>
    <x v="77"/>
    <x v="2"/>
    <x v="3"/>
    <x v="6"/>
    <n v="16"/>
    <n v="304.64"/>
    <n v="4874.24"/>
    <n v="10"/>
    <x v="83"/>
  </r>
  <r>
    <s v="ORD0085"/>
    <x v="35"/>
    <x v="0"/>
    <x v="8"/>
    <x v="9"/>
    <n v="17"/>
    <n v="374.53"/>
    <n v="6367.01"/>
    <n v="20"/>
    <x v="84"/>
  </r>
  <r>
    <s v="ORD0086"/>
    <x v="78"/>
    <x v="0"/>
    <x v="3"/>
    <x v="9"/>
    <n v="11"/>
    <n v="70.91"/>
    <n v="780.01"/>
    <n v="5"/>
    <x v="85"/>
  </r>
  <r>
    <s v="ORD0087"/>
    <x v="79"/>
    <x v="2"/>
    <x v="7"/>
    <x v="7"/>
    <n v="14"/>
    <n v="306.27"/>
    <n v="4287.78"/>
    <n v="15"/>
    <x v="86"/>
  </r>
  <r>
    <s v="ORD0088"/>
    <x v="11"/>
    <x v="1"/>
    <x v="4"/>
    <x v="8"/>
    <n v="17"/>
    <n v="427.98"/>
    <n v="7275.66"/>
    <n v="20"/>
    <x v="87"/>
  </r>
  <r>
    <s v="ORD0089"/>
    <x v="80"/>
    <x v="2"/>
    <x v="0"/>
    <x v="8"/>
    <n v="13"/>
    <n v="599.05999999999995"/>
    <n v="7787.78"/>
    <n v="0"/>
    <x v="88"/>
  </r>
  <r>
    <s v="ORD0090"/>
    <x v="81"/>
    <x v="1"/>
    <x v="4"/>
    <x v="9"/>
    <n v="5"/>
    <n v="164.44"/>
    <n v="822.2"/>
    <n v="20"/>
    <x v="89"/>
  </r>
  <r>
    <s v="ORD0091"/>
    <x v="40"/>
    <x v="2"/>
    <x v="1"/>
    <x v="2"/>
    <n v="20"/>
    <n v="182.59"/>
    <n v="3651.8"/>
    <n v="15"/>
    <x v="90"/>
  </r>
  <r>
    <s v="ORD0092"/>
    <x v="82"/>
    <x v="2"/>
    <x v="8"/>
    <x v="8"/>
    <n v="15"/>
    <n v="109.95"/>
    <n v="1649.25"/>
    <n v="10"/>
    <x v="91"/>
  </r>
  <r>
    <s v="ORD0093"/>
    <x v="83"/>
    <x v="0"/>
    <x v="3"/>
    <x v="3"/>
    <n v="9"/>
    <n v="146.31"/>
    <n v="1316.79"/>
    <n v="10"/>
    <x v="92"/>
  </r>
  <r>
    <s v="ORD0094"/>
    <x v="84"/>
    <x v="2"/>
    <x v="1"/>
    <x v="9"/>
    <n v="6"/>
    <n v="897.96"/>
    <n v="5387.76"/>
    <n v="5"/>
    <x v="93"/>
  </r>
  <r>
    <s v="ORD0095"/>
    <x v="85"/>
    <x v="2"/>
    <x v="3"/>
    <x v="1"/>
    <n v="2"/>
    <n v="169.42"/>
    <n v="338.84"/>
    <n v="20"/>
    <x v="94"/>
  </r>
  <r>
    <s v="ORD0096"/>
    <x v="86"/>
    <x v="2"/>
    <x v="2"/>
    <x v="6"/>
    <n v="5"/>
    <n v="992.54"/>
    <n v="4962.7"/>
    <n v="5"/>
    <x v="95"/>
  </r>
  <r>
    <s v="ORD0097"/>
    <x v="60"/>
    <x v="0"/>
    <x v="8"/>
    <x v="2"/>
    <n v="8"/>
    <n v="862.12"/>
    <n v="6896.96"/>
    <n v="20"/>
    <x v="96"/>
  </r>
  <r>
    <s v="ORD0098"/>
    <x v="87"/>
    <x v="1"/>
    <x v="2"/>
    <x v="6"/>
    <n v="7"/>
    <n v="726.84"/>
    <n v="5087.88"/>
    <n v="15"/>
    <x v="97"/>
  </r>
  <r>
    <s v="ORD0099"/>
    <x v="88"/>
    <x v="3"/>
    <x v="7"/>
    <x v="8"/>
    <n v="14"/>
    <n v="113.19"/>
    <n v="1584.66"/>
    <n v="5"/>
    <x v="98"/>
  </r>
  <r>
    <s v="ORD0100"/>
    <x v="89"/>
    <x v="2"/>
    <x v="3"/>
    <x v="0"/>
    <n v="4"/>
    <n v="201.46"/>
    <n v="805.84"/>
    <n v="5"/>
    <x v="99"/>
  </r>
  <r>
    <s v="ORD0101"/>
    <x v="90"/>
    <x v="1"/>
    <x v="5"/>
    <x v="0"/>
    <n v="10"/>
    <n v="993.5"/>
    <n v="9935"/>
    <n v="0"/>
    <x v="100"/>
  </r>
  <r>
    <s v="ORD0102"/>
    <x v="91"/>
    <x v="3"/>
    <x v="1"/>
    <x v="2"/>
    <n v="13"/>
    <n v="266.02"/>
    <n v="3458.26"/>
    <n v="10"/>
    <x v="101"/>
  </r>
  <r>
    <s v="ORD0103"/>
    <x v="92"/>
    <x v="1"/>
    <x v="9"/>
    <x v="1"/>
    <n v="2"/>
    <n v="570.12"/>
    <n v="1140.24"/>
    <n v="20"/>
    <x v="102"/>
  </r>
  <r>
    <s v="ORD0104"/>
    <x v="7"/>
    <x v="0"/>
    <x v="5"/>
    <x v="5"/>
    <n v="9"/>
    <n v="199.12"/>
    <n v="1792.08"/>
    <n v="20"/>
    <x v="103"/>
  </r>
  <r>
    <s v="ORD0105"/>
    <x v="93"/>
    <x v="1"/>
    <x v="8"/>
    <x v="3"/>
    <n v="15"/>
    <n v="415.91"/>
    <n v="6238.65"/>
    <n v="0"/>
    <x v="104"/>
  </r>
  <r>
    <s v="ORD0106"/>
    <x v="94"/>
    <x v="3"/>
    <x v="7"/>
    <x v="2"/>
    <n v="6"/>
    <n v="247.95"/>
    <n v="1487.7"/>
    <n v="0"/>
    <x v="105"/>
  </r>
  <r>
    <s v="ORD0107"/>
    <x v="95"/>
    <x v="2"/>
    <x v="1"/>
    <x v="1"/>
    <n v="5"/>
    <n v="886.88"/>
    <n v="4434.3999999999996"/>
    <n v="10"/>
    <x v="106"/>
  </r>
  <r>
    <s v="ORD0108"/>
    <x v="14"/>
    <x v="3"/>
    <x v="5"/>
    <x v="5"/>
    <n v="18"/>
    <n v="668.64"/>
    <n v="12035.52"/>
    <n v="15"/>
    <x v="107"/>
  </r>
  <r>
    <s v="ORD0109"/>
    <x v="68"/>
    <x v="3"/>
    <x v="8"/>
    <x v="0"/>
    <n v="7"/>
    <n v="307.55"/>
    <n v="2152.85"/>
    <n v="0"/>
    <x v="108"/>
  </r>
  <r>
    <s v="ORD0110"/>
    <x v="96"/>
    <x v="0"/>
    <x v="4"/>
    <x v="2"/>
    <n v="8"/>
    <n v="872.43"/>
    <n v="6979.44"/>
    <n v="15"/>
    <x v="109"/>
  </r>
  <r>
    <s v="ORD0111"/>
    <x v="97"/>
    <x v="0"/>
    <x v="9"/>
    <x v="5"/>
    <n v="3"/>
    <n v="649.07000000000005"/>
    <n v="1947.21"/>
    <n v="20"/>
    <x v="110"/>
  </r>
  <r>
    <s v="ORD0112"/>
    <x v="98"/>
    <x v="0"/>
    <x v="8"/>
    <x v="1"/>
    <n v="13"/>
    <n v="313.8"/>
    <n v="4079.4"/>
    <n v="5"/>
    <x v="111"/>
  </r>
  <r>
    <s v="ORD0113"/>
    <x v="99"/>
    <x v="0"/>
    <x v="8"/>
    <x v="7"/>
    <n v="10"/>
    <n v="786.48"/>
    <n v="7864.8"/>
    <n v="10"/>
    <x v="112"/>
  </r>
  <r>
    <s v="ORD0114"/>
    <x v="100"/>
    <x v="3"/>
    <x v="0"/>
    <x v="0"/>
    <n v="12"/>
    <n v="926.75"/>
    <n v="11121"/>
    <n v="20"/>
    <x v="113"/>
  </r>
  <r>
    <s v="ORD0115"/>
    <x v="76"/>
    <x v="0"/>
    <x v="9"/>
    <x v="2"/>
    <n v="19"/>
    <n v="312.2"/>
    <n v="5931.8"/>
    <n v="10"/>
    <x v="114"/>
  </r>
  <r>
    <s v="ORD0116"/>
    <x v="7"/>
    <x v="2"/>
    <x v="6"/>
    <x v="6"/>
    <n v="4"/>
    <n v="620.04999999999995"/>
    <n v="2480.1999999999998"/>
    <n v="0"/>
    <x v="115"/>
  </r>
  <r>
    <s v="ORD0117"/>
    <x v="62"/>
    <x v="2"/>
    <x v="8"/>
    <x v="6"/>
    <n v="15"/>
    <n v="56.1"/>
    <n v="841.5"/>
    <n v="5"/>
    <x v="116"/>
  </r>
  <r>
    <s v="ORD0118"/>
    <x v="71"/>
    <x v="2"/>
    <x v="9"/>
    <x v="9"/>
    <n v="8"/>
    <n v="565.85"/>
    <n v="4526.8"/>
    <n v="20"/>
    <x v="117"/>
  </r>
  <r>
    <s v="ORD0119"/>
    <x v="101"/>
    <x v="0"/>
    <x v="0"/>
    <x v="5"/>
    <n v="13"/>
    <n v="411.46"/>
    <n v="5348.98"/>
    <n v="10"/>
    <x v="118"/>
  </r>
  <r>
    <s v="ORD0120"/>
    <x v="90"/>
    <x v="3"/>
    <x v="3"/>
    <x v="5"/>
    <n v="20"/>
    <n v="918.16"/>
    <n v="18363.2"/>
    <n v="20"/>
    <x v="119"/>
  </r>
  <r>
    <s v="ORD0121"/>
    <x v="20"/>
    <x v="0"/>
    <x v="5"/>
    <x v="5"/>
    <n v="15"/>
    <n v="243.65"/>
    <n v="3654.75"/>
    <n v="20"/>
    <x v="120"/>
  </r>
  <r>
    <s v="ORD0122"/>
    <x v="102"/>
    <x v="0"/>
    <x v="0"/>
    <x v="8"/>
    <n v="18"/>
    <n v="330.24"/>
    <n v="5944.32"/>
    <n v="10"/>
    <x v="121"/>
  </r>
  <r>
    <s v="ORD0123"/>
    <x v="103"/>
    <x v="3"/>
    <x v="5"/>
    <x v="3"/>
    <n v="3"/>
    <n v="905.78"/>
    <n v="2717.34"/>
    <n v="10"/>
    <x v="122"/>
  </r>
  <r>
    <s v="ORD0124"/>
    <x v="104"/>
    <x v="1"/>
    <x v="3"/>
    <x v="8"/>
    <n v="18"/>
    <n v="932.74"/>
    <n v="16789.32"/>
    <n v="0"/>
    <x v="123"/>
  </r>
  <r>
    <s v="ORD0125"/>
    <x v="105"/>
    <x v="2"/>
    <x v="1"/>
    <x v="8"/>
    <n v="18"/>
    <n v="407.66"/>
    <n v="7337.88"/>
    <n v="20"/>
    <x v="124"/>
  </r>
  <r>
    <s v="ORD0126"/>
    <x v="7"/>
    <x v="1"/>
    <x v="5"/>
    <x v="9"/>
    <n v="2"/>
    <n v="74.53"/>
    <n v="149.06"/>
    <n v="15"/>
    <x v="125"/>
  </r>
  <r>
    <s v="ORD0127"/>
    <x v="106"/>
    <x v="0"/>
    <x v="2"/>
    <x v="9"/>
    <n v="3"/>
    <n v="113.71"/>
    <n v="341.13"/>
    <n v="10"/>
    <x v="126"/>
  </r>
  <r>
    <s v="ORD0128"/>
    <x v="107"/>
    <x v="1"/>
    <x v="0"/>
    <x v="4"/>
    <n v="19"/>
    <n v="659.18"/>
    <n v="12524.42"/>
    <n v="0"/>
    <x v="127"/>
  </r>
  <r>
    <s v="ORD0129"/>
    <x v="106"/>
    <x v="1"/>
    <x v="9"/>
    <x v="2"/>
    <n v="6"/>
    <n v="114.02"/>
    <n v="684.12"/>
    <n v="20"/>
    <x v="128"/>
  </r>
  <r>
    <s v="ORD0130"/>
    <x v="108"/>
    <x v="3"/>
    <x v="9"/>
    <x v="5"/>
    <n v="7"/>
    <n v="505.79"/>
    <n v="3540.53"/>
    <n v="5"/>
    <x v="129"/>
  </r>
  <r>
    <s v="ORD0131"/>
    <x v="48"/>
    <x v="3"/>
    <x v="5"/>
    <x v="3"/>
    <n v="1"/>
    <n v="783.26"/>
    <n v="783.26"/>
    <n v="15"/>
    <x v="130"/>
  </r>
  <r>
    <s v="ORD0132"/>
    <x v="109"/>
    <x v="0"/>
    <x v="0"/>
    <x v="0"/>
    <n v="15"/>
    <n v="745.3"/>
    <n v="11179.5"/>
    <n v="5"/>
    <x v="131"/>
  </r>
  <r>
    <s v="ORD0133"/>
    <x v="110"/>
    <x v="1"/>
    <x v="4"/>
    <x v="6"/>
    <n v="12"/>
    <n v="228.62"/>
    <n v="2743.44"/>
    <n v="15"/>
    <x v="132"/>
  </r>
  <r>
    <s v="ORD0134"/>
    <x v="111"/>
    <x v="1"/>
    <x v="0"/>
    <x v="2"/>
    <n v="17"/>
    <n v="400.78"/>
    <n v="6813.26"/>
    <n v="10"/>
    <x v="133"/>
  </r>
  <r>
    <s v="ORD0135"/>
    <x v="112"/>
    <x v="1"/>
    <x v="3"/>
    <x v="7"/>
    <n v="2"/>
    <n v="188.58"/>
    <n v="377.16"/>
    <n v="20"/>
    <x v="134"/>
  </r>
  <r>
    <s v="ORD0136"/>
    <x v="113"/>
    <x v="1"/>
    <x v="9"/>
    <x v="3"/>
    <n v="7"/>
    <n v="107.75"/>
    <n v="754.25"/>
    <n v="20"/>
    <x v="135"/>
  </r>
  <r>
    <s v="ORD0137"/>
    <x v="73"/>
    <x v="0"/>
    <x v="4"/>
    <x v="2"/>
    <n v="11"/>
    <n v="246.28"/>
    <n v="2709.08"/>
    <n v="0"/>
    <x v="136"/>
  </r>
  <r>
    <s v="ORD0138"/>
    <x v="114"/>
    <x v="1"/>
    <x v="9"/>
    <x v="6"/>
    <n v="15"/>
    <n v="250.45"/>
    <n v="3756.75"/>
    <n v="5"/>
    <x v="137"/>
  </r>
  <r>
    <s v="ORD0139"/>
    <x v="115"/>
    <x v="0"/>
    <x v="8"/>
    <x v="5"/>
    <n v="7"/>
    <n v="618.37"/>
    <n v="4328.59"/>
    <n v="15"/>
    <x v="138"/>
  </r>
  <r>
    <s v="ORD0140"/>
    <x v="116"/>
    <x v="0"/>
    <x v="4"/>
    <x v="7"/>
    <n v="20"/>
    <n v="759.04"/>
    <n v="15180.8"/>
    <n v="5"/>
    <x v="139"/>
  </r>
  <r>
    <s v="ORD0141"/>
    <x v="117"/>
    <x v="1"/>
    <x v="3"/>
    <x v="8"/>
    <n v="5"/>
    <n v="538.53"/>
    <n v="2692.65"/>
    <n v="0"/>
    <x v="140"/>
  </r>
  <r>
    <s v="ORD0142"/>
    <x v="113"/>
    <x v="3"/>
    <x v="4"/>
    <x v="5"/>
    <n v="10"/>
    <n v="464.42"/>
    <n v="4644.2"/>
    <n v="5"/>
    <x v="141"/>
  </r>
  <r>
    <s v="ORD0143"/>
    <x v="118"/>
    <x v="3"/>
    <x v="4"/>
    <x v="4"/>
    <n v="10"/>
    <n v="333.95"/>
    <n v="3339.5"/>
    <n v="20"/>
    <x v="142"/>
  </r>
  <r>
    <s v="ORD0144"/>
    <x v="119"/>
    <x v="0"/>
    <x v="2"/>
    <x v="3"/>
    <n v="13"/>
    <n v="296.18"/>
    <n v="3850.34"/>
    <n v="5"/>
    <x v="143"/>
  </r>
  <r>
    <s v="ORD0145"/>
    <x v="120"/>
    <x v="1"/>
    <x v="6"/>
    <x v="9"/>
    <n v="12"/>
    <n v="435.62"/>
    <n v="5227.4399999999996"/>
    <n v="15"/>
    <x v="144"/>
  </r>
  <r>
    <s v="ORD0146"/>
    <x v="95"/>
    <x v="2"/>
    <x v="5"/>
    <x v="2"/>
    <n v="8"/>
    <n v="525.97"/>
    <n v="4207.76"/>
    <n v="10"/>
    <x v="145"/>
  </r>
  <r>
    <s v="ORD0147"/>
    <x v="24"/>
    <x v="3"/>
    <x v="7"/>
    <x v="2"/>
    <n v="7"/>
    <n v="432.41"/>
    <n v="3026.87"/>
    <n v="0"/>
    <x v="146"/>
  </r>
  <r>
    <s v="ORD0148"/>
    <x v="121"/>
    <x v="3"/>
    <x v="9"/>
    <x v="0"/>
    <n v="16"/>
    <n v="120.08"/>
    <n v="1921.28"/>
    <n v="10"/>
    <x v="147"/>
  </r>
  <r>
    <s v="ORD0149"/>
    <x v="18"/>
    <x v="3"/>
    <x v="3"/>
    <x v="7"/>
    <n v="5"/>
    <n v="252.85"/>
    <n v="1264.25"/>
    <n v="0"/>
    <x v="148"/>
  </r>
  <r>
    <s v="ORD0150"/>
    <x v="122"/>
    <x v="0"/>
    <x v="4"/>
    <x v="9"/>
    <n v="9"/>
    <n v="502.24"/>
    <n v="4520.16"/>
    <n v="10"/>
    <x v="149"/>
  </r>
  <r>
    <s v="ORD0151"/>
    <x v="123"/>
    <x v="2"/>
    <x v="7"/>
    <x v="2"/>
    <n v="7"/>
    <n v="300.22000000000003"/>
    <n v="2101.54"/>
    <n v="0"/>
    <x v="150"/>
  </r>
  <r>
    <s v="ORD0152"/>
    <x v="124"/>
    <x v="0"/>
    <x v="4"/>
    <x v="0"/>
    <n v="13"/>
    <n v="794.12"/>
    <n v="10323.56"/>
    <n v="20"/>
    <x v="151"/>
  </r>
  <r>
    <s v="ORD0153"/>
    <x v="125"/>
    <x v="0"/>
    <x v="7"/>
    <x v="7"/>
    <n v="17"/>
    <n v="918.9"/>
    <n v="15621.3"/>
    <n v="0"/>
    <x v="152"/>
  </r>
  <r>
    <s v="ORD0154"/>
    <x v="126"/>
    <x v="3"/>
    <x v="2"/>
    <x v="5"/>
    <n v="15"/>
    <n v="830.59"/>
    <n v="12458.85"/>
    <n v="20"/>
    <x v="153"/>
  </r>
  <r>
    <s v="ORD0155"/>
    <x v="127"/>
    <x v="3"/>
    <x v="3"/>
    <x v="0"/>
    <n v="11"/>
    <n v="363.3"/>
    <n v="3996.3"/>
    <n v="15"/>
    <x v="154"/>
  </r>
  <r>
    <s v="ORD0156"/>
    <x v="37"/>
    <x v="2"/>
    <x v="1"/>
    <x v="3"/>
    <n v="3"/>
    <n v="195.75"/>
    <n v="587.25"/>
    <n v="0"/>
    <x v="155"/>
  </r>
  <r>
    <s v="ORD0157"/>
    <x v="128"/>
    <x v="1"/>
    <x v="5"/>
    <x v="0"/>
    <n v="5"/>
    <n v="735.79"/>
    <n v="3678.95"/>
    <n v="20"/>
    <x v="156"/>
  </r>
  <r>
    <s v="ORD0158"/>
    <x v="129"/>
    <x v="1"/>
    <x v="8"/>
    <x v="1"/>
    <n v="4"/>
    <n v="353.44"/>
    <n v="1413.76"/>
    <n v="20"/>
    <x v="157"/>
  </r>
  <r>
    <s v="ORD0159"/>
    <x v="130"/>
    <x v="0"/>
    <x v="0"/>
    <x v="9"/>
    <n v="10"/>
    <n v="740.81"/>
    <n v="7408.1"/>
    <n v="5"/>
    <x v="158"/>
  </r>
  <r>
    <s v="ORD0160"/>
    <x v="131"/>
    <x v="1"/>
    <x v="2"/>
    <x v="9"/>
    <n v="3"/>
    <n v="407.17"/>
    <n v="1221.51"/>
    <n v="10"/>
    <x v="159"/>
  </r>
  <r>
    <s v="ORD0161"/>
    <x v="23"/>
    <x v="1"/>
    <x v="0"/>
    <x v="0"/>
    <n v="11"/>
    <n v="517.79999999999995"/>
    <n v="5695.8"/>
    <n v="0"/>
    <x v="160"/>
  </r>
  <r>
    <s v="ORD0162"/>
    <x v="130"/>
    <x v="2"/>
    <x v="0"/>
    <x v="5"/>
    <n v="3"/>
    <n v="344.53"/>
    <n v="1033.5899999999999"/>
    <n v="10"/>
    <x v="161"/>
  </r>
  <r>
    <s v="ORD0163"/>
    <x v="132"/>
    <x v="1"/>
    <x v="5"/>
    <x v="2"/>
    <n v="11"/>
    <n v="324.10000000000002"/>
    <n v="3565.1"/>
    <n v="10"/>
    <x v="162"/>
  </r>
  <r>
    <s v="ORD0164"/>
    <x v="127"/>
    <x v="3"/>
    <x v="6"/>
    <x v="1"/>
    <n v="9"/>
    <n v="504.03"/>
    <n v="4536.2700000000004"/>
    <n v="0"/>
    <x v="163"/>
  </r>
  <r>
    <s v="ORD0165"/>
    <x v="133"/>
    <x v="2"/>
    <x v="5"/>
    <x v="4"/>
    <n v="18"/>
    <n v="979.35"/>
    <n v="17628.3"/>
    <n v="5"/>
    <x v="164"/>
  </r>
  <r>
    <s v="ORD0166"/>
    <x v="134"/>
    <x v="3"/>
    <x v="8"/>
    <x v="3"/>
    <n v="4"/>
    <n v="538.47"/>
    <n v="2153.88"/>
    <n v="0"/>
    <x v="165"/>
  </r>
  <r>
    <s v="ORD0167"/>
    <x v="135"/>
    <x v="3"/>
    <x v="6"/>
    <x v="8"/>
    <n v="8"/>
    <n v="759.12"/>
    <n v="6072.96"/>
    <n v="15"/>
    <x v="166"/>
  </r>
  <r>
    <s v="ORD0168"/>
    <x v="114"/>
    <x v="2"/>
    <x v="8"/>
    <x v="8"/>
    <n v="10"/>
    <n v="676.51"/>
    <n v="6765.1"/>
    <n v="15"/>
    <x v="167"/>
  </r>
  <r>
    <s v="ORD0169"/>
    <x v="136"/>
    <x v="1"/>
    <x v="0"/>
    <x v="6"/>
    <n v="17"/>
    <n v="98.6"/>
    <n v="1676.2"/>
    <n v="5"/>
    <x v="168"/>
  </r>
  <r>
    <s v="ORD0170"/>
    <x v="137"/>
    <x v="0"/>
    <x v="7"/>
    <x v="3"/>
    <n v="20"/>
    <n v="548.74"/>
    <n v="10974.8"/>
    <n v="10"/>
    <x v="169"/>
  </r>
  <r>
    <s v="ORD0171"/>
    <x v="138"/>
    <x v="3"/>
    <x v="1"/>
    <x v="7"/>
    <n v="4"/>
    <n v="675.51"/>
    <n v="2702.04"/>
    <n v="15"/>
    <x v="170"/>
  </r>
  <r>
    <s v="ORD0172"/>
    <x v="119"/>
    <x v="2"/>
    <x v="8"/>
    <x v="3"/>
    <n v="2"/>
    <n v="662.53"/>
    <n v="1325.06"/>
    <n v="10"/>
    <x v="171"/>
  </r>
  <r>
    <s v="ORD0173"/>
    <x v="17"/>
    <x v="3"/>
    <x v="3"/>
    <x v="0"/>
    <n v="3"/>
    <n v="502.95"/>
    <n v="1508.85"/>
    <n v="20"/>
    <x v="172"/>
  </r>
  <r>
    <s v="ORD0174"/>
    <x v="139"/>
    <x v="2"/>
    <x v="5"/>
    <x v="2"/>
    <n v="5"/>
    <n v="919.07"/>
    <n v="4595.3500000000004"/>
    <n v="15"/>
    <x v="173"/>
  </r>
  <r>
    <s v="ORD0175"/>
    <x v="140"/>
    <x v="2"/>
    <x v="4"/>
    <x v="2"/>
    <n v="15"/>
    <n v="480.65"/>
    <n v="7209.75"/>
    <n v="15"/>
    <x v="174"/>
  </r>
  <r>
    <s v="ORD0176"/>
    <x v="141"/>
    <x v="0"/>
    <x v="1"/>
    <x v="7"/>
    <n v="8"/>
    <n v="612.78"/>
    <n v="4902.24"/>
    <n v="20"/>
    <x v="175"/>
  </r>
  <r>
    <s v="ORD0177"/>
    <x v="103"/>
    <x v="0"/>
    <x v="8"/>
    <x v="9"/>
    <n v="13"/>
    <n v="339.08"/>
    <n v="4408.04"/>
    <n v="5"/>
    <x v="176"/>
  </r>
  <r>
    <s v="ORD0178"/>
    <x v="17"/>
    <x v="1"/>
    <x v="2"/>
    <x v="3"/>
    <n v="13"/>
    <n v="310.31"/>
    <n v="4034.03"/>
    <n v="0"/>
    <x v="177"/>
  </r>
  <r>
    <s v="ORD0179"/>
    <x v="142"/>
    <x v="1"/>
    <x v="8"/>
    <x v="7"/>
    <n v="20"/>
    <n v="116.93"/>
    <n v="2338.6"/>
    <n v="0"/>
    <x v="178"/>
  </r>
  <r>
    <s v="ORD0180"/>
    <x v="137"/>
    <x v="2"/>
    <x v="3"/>
    <x v="3"/>
    <n v="5"/>
    <n v="845.06"/>
    <n v="4225.3"/>
    <n v="20"/>
    <x v="179"/>
  </r>
  <r>
    <s v="ORD0181"/>
    <x v="143"/>
    <x v="3"/>
    <x v="4"/>
    <x v="0"/>
    <n v="13"/>
    <n v="352.14"/>
    <n v="4577.82"/>
    <n v="20"/>
    <x v="180"/>
  </r>
  <r>
    <s v="ORD0182"/>
    <x v="144"/>
    <x v="0"/>
    <x v="8"/>
    <x v="4"/>
    <n v="18"/>
    <n v="636.62"/>
    <n v="11459.16"/>
    <n v="10"/>
    <x v="181"/>
  </r>
  <r>
    <s v="ORD0183"/>
    <x v="93"/>
    <x v="3"/>
    <x v="0"/>
    <x v="9"/>
    <n v="8"/>
    <n v="913.05"/>
    <n v="7304.4"/>
    <n v="20"/>
    <x v="182"/>
  </r>
  <r>
    <s v="ORD0184"/>
    <x v="145"/>
    <x v="3"/>
    <x v="0"/>
    <x v="7"/>
    <n v="7"/>
    <n v="74.75"/>
    <n v="523.25"/>
    <n v="0"/>
    <x v="183"/>
  </r>
  <r>
    <s v="ORD0185"/>
    <x v="146"/>
    <x v="3"/>
    <x v="7"/>
    <x v="4"/>
    <n v="19"/>
    <n v="998.47"/>
    <n v="18970.93"/>
    <n v="5"/>
    <x v="184"/>
  </r>
  <r>
    <s v="ORD0186"/>
    <x v="147"/>
    <x v="2"/>
    <x v="5"/>
    <x v="6"/>
    <n v="7"/>
    <n v="941.21"/>
    <n v="6588.47"/>
    <n v="10"/>
    <x v="185"/>
  </r>
  <r>
    <s v="ORD0187"/>
    <x v="148"/>
    <x v="2"/>
    <x v="3"/>
    <x v="4"/>
    <n v="16"/>
    <n v="499.36"/>
    <n v="7989.76"/>
    <n v="10"/>
    <x v="186"/>
  </r>
  <r>
    <s v="ORD0188"/>
    <x v="149"/>
    <x v="3"/>
    <x v="7"/>
    <x v="7"/>
    <n v="19"/>
    <n v="886.75"/>
    <n v="16848.25"/>
    <n v="0"/>
    <x v="187"/>
  </r>
  <r>
    <s v="ORD0189"/>
    <x v="60"/>
    <x v="2"/>
    <x v="0"/>
    <x v="3"/>
    <n v="18"/>
    <n v="807.71"/>
    <n v="14538.78"/>
    <n v="10"/>
    <x v="188"/>
  </r>
  <r>
    <s v="ORD0190"/>
    <x v="100"/>
    <x v="3"/>
    <x v="4"/>
    <x v="9"/>
    <n v="16"/>
    <n v="434.86"/>
    <n v="6957.76"/>
    <n v="15"/>
    <x v="189"/>
  </r>
  <r>
    <s v="ORD0191"/>
    <x v="150"/>
    <x v="3"/>
    <x v="2"/>
    <x v="1"/>
    <n v="14"/>
    <n v="827.42"/>
    <n v="11583.88"/>
    <n v="15"/>
    <x v="190"/>
  </r>
  <r>
    <s v="ORD0192"/>
    <x v="151"/>
    <x v="1"/>
    <x v="6"/>
    <x v="8"/>
    <n v="14"/>
    <n v="678.8"/>
    <n v="9503.2000000000007"/>
    <n v="20"/>
    <x v="191"/>
  </r>
  <r>
    <s v="ORD0193"/>
    <x v="152"/>
    <x v="2"/>
    <x v="6"/>
    <x v="1"/>
    <n v="15"/>
    <n v="312.25"/>
    <n v="4683.75"/>
    <n v="0"/>
    <x v="192"/>
  </r>
  <r>
    <s v="ORD0194"/>
    <x v="153"/>
    <x v="3"/>
    <x v="8"/>
    <x v="8"/>
    <n v="9"/>
    <n v="288.43"/>
    <n v="2595.87"/>
    <n v="10"/>
    <x v="193"/>
  </r>
  <r>
    <s v="ORD0195"/>
    <x v="154"/>
    <x v="0"/>
    <x v="3"/>
    <x v="7"/>
    <n v="1"/>
    <n v="817.86"/>
    <n v="817.86"/>
    <n v="0"/>
    <x v="194"/>
  </r>
  <r>
    <s v="ORD0196"/>
    <x v="155"/>
    <x v="2"/>
    <x v="5"/>
    <x v="6"/>
    <n v="10"/>
    <n v="291.88"/>
    <n v="2918.8"/>
    <n v="20"/>
    <x v="195"/>
  </r>
  <r>
    <s v="ORD0197"/>
    <x v="156"/>
    <x v="0"/>
    <x v="1"/>
    <x v="8"/>
    <n v="12"/>
    <n v="598.37"/>
    <n v="7180.44"/>
    <n v="0"/>
    <x v="196"/>
  </r>
  <r>
    <s v="ORD0198"/>
    <x v="157"/>
    <x v="1"/>
    <x v="0"/>
    <x v="9"/>
    <n v="6"/>
    <n v="496.05"/>
    <n v="2976.3"/>
    <n v="0"/>
    <x v="197"/>
  </r>
  <r>
    <s v="ORD0199"/>
    <x v="158"/>
    <x v="1"/>
    <x v="4"/>
    <x v="4"/>
    <n v="18"/>
    <n v="230.27"/>
    <n v="4144.8599999999997"/>
    <n v="0"/>
    <x v="198"/>
  </r>
  <r>
    <s v="ORD0200"/>
    <x v="159"/>
    <x v="1"/>
    <x v="1"/>
    <x v="0"/>
    <n v="11"/>
    <n v="175.99"/>
    <n v="1935.89"/>
    <n v="10"/>
    <x v="199"/>
  </r>
  <r>
    <s v="ORD0201"/>
    <x v="160"/>
    <x v="0"/>
    <x v="9"/>
    <x v="2"/>
    <n v="17"/>
    <n v="487.65"/>
    <n v="8290.0499999999993"/>
    <n v="10"/>
    <x v="200"/>
  </r>
  <r>
    <s v="ORD0202"/>
    <x v="161"/>
    <x v="2"/>
    <x v="7"/>
    <x v="7"/>
    <n v="6"/>
    <n v="910.89"/>
    <n v="5465.34"/>
    <n v="0"/>
    <x v="201"/>
  </r>
  <r>
    <s v="ORD0203"/>
    <x v="162"/>
    <x v="0"/>
    <x v="8"/>
    <x v="2"/>
    <n v="14"/>
    <n v="458.24"/>
    <n v="6415.36"/>
    <n v="10"/>
    <x v="202"/>
  </r>
  <r>
    <s v="ORD0204"/>
    <x v="163"/>
    <x v="0"/>
    <x v="3"/>
    <x v="3"/>
    <n v="17"/>
    <n v="577.66"/>
    <n v="9820.2199999999993"/>
    <n v="20"/>
    <x v="203"/>
  </r>
  <r>
    <s v="ORD0205"/>
    <x v="164"/>
    <x v="3"/>
    <x v="1"/>
    <x v="9"/>
    <n v="18"/>
    <n v="580.89"/>
    <n v="10456.02"/>
    <n v="20"/>
    <x v="204"/>
  </r>
  <r>
    <s v="ORD0206"/>
    <x v="76"/>
    <x v="0"/>
    <x v="1"/>
    <x v="8"/>
    <n v="5"/>
    <n v="374.83"/>
    <n v="1874.15"/>
    <n v="0"/>
    <x v="205"/>
  </r>
  <r>
    <s v="ORD0207"/>
    <x v="163"/>
    <x v="1"/>
    <x v="3"/>
    <x v="7"/>
    <n v="6"/>
    <n v="324.7"/>
    <n v="1948.2"/>
    <n v="5"/>
    <x v="206"/>
  </r>
  <r>
    <s v="ORD0208"/>
    <x v="165"/>
    <x v="3"/>
    <x v="9"/>
    <x v="0"/>
    <n v="19"/>
    <n v="860.93"/>
    <n v="16357.67"/>
    <n v="10"/>
    <x v="207"/>
  </r>
  <r>
    <s v="ORD0209"/>
    <x v="166"/>
    <x v="1"/>
    <x v="9"/>
    <x v="2"/>
    <n v="4"/>
    <n v="645.44000000000005"/>
    <n v="2581.7600000000002"/>
    <n v="5"/>
    <x v="208"/>
  </r>
  <r>
    <s v="ORD0210"/>
    <x v="94"/>
    <x v="2"/>
    <x v="8"/>
    <x v="1"/>
    <n v="12"/>
    <n v="759.86"/>
    <n v="9118.32"/>
    <n v="15"/>
    <x v="209"/>
  </r>
  <r>
    <s v="ORD0211"/>
    <x v="167"/>
    <x v="0"/>
    <x v="0"/>
    <x v="1"/>
    <n v="9"/>
    <n v="724.07"/>
    <n v="6516.63"/>
    <n v="20"/>
    <x v="210"/>
  </r>
  <r>
    <s v="ORD0212"/>
    <x v="64"/>
    <x v="2"/>
    <x v="1"/>
    <x v="4"/>
    <n v="7"/>
    <n v="581.41999999999996"/>
    <n v="4069.94"/>
    <n v="0"/>
    <x v="211"/>
  </r>
  <r>
    <s v="ORD0213"/>
    <x v="168"/>
    <x v="2"/>
    <x v="7"/>
    <x v="9"/>
    <n v="6"/>
    <n v="938.44"/>
    <n v="5630.64"/>
    <n v="5"/>
    <x v="212"/>
  </r>
  <r>
    <s v="ORD0214"/>
    <x v="169"/>
    <x v="1"/>
    <x v="4"/>
    <x v="4"/>
    <n v="7"/>
    <n v="51.81"/>
    <n v="362.67"/>
    <n v="0"/>
    <x v="213"/>
  </r>
  <r>
    <s v="ORD0215"/>
    <x v="88"/>
    <x v="1"/>
    <x v="0"/>
    <x v="8"/>
    <n v="18"/>
    <n v="747.84"/>
    <n v="13461.12"/>
    <n v="0"/>
    <x v="214"/>
  </r>
  <r>
    <s v="ORD0216"/>
    <x v="45"/>
    <x v="0"/>
    <x v="6"/>
    <x v="6"/>
    <n v="2"/>
    <n v="70.2"/>
    <n v="140.4"/>
    <n v="10"/>
    <x v="215"/>
  </r>
  <r>
    <s v="ORD0217"/>
    <x v="48"/>
    <x v="3"/>
    <x v="6"/>
    <x v="5"/>
    <n v="8"/>
    <n v="798.16"/>
    <n v="6385.28"/>
    <n v="0"/>
    <x v="216"/>
  </r>
  <r>
    <s v="ORD0218"/>
    <x v="170"/>
    <x v="2"/>
    <x v="0"/>
    <x v="9"/>
    <n v="14"/>
    <n v="783.76"/>
    <n v="10972.64"/>
    <n v="20"/>
    <x v="217"/>
  </r>
  <r>
    <s v="ORD0219"/>
    <x v="168"/>
    <x v="1"/>
    <x v="6"/>
    <x v="4"/>
    <n v="19"/>
    <n v="969.3"/>
    <n v="18416.7"/>
    <n v="15"/>
    <x v="218"/>
  </r>
  <r>
    <s v="ORD0220"/>
    <x v="140"/>
    <x v="1"/>
    <x v="7"/>
    <x v="8"/>
    <n v="17"/>
    <n v="670.22"/>
    <n v="11393.74"/>
    <n v="5"/>
    <x v="219"/>
  </r>
  <r>
    <s v="ORD0221"/>
    <x v="106"/>
    <x v="0"/>
    <x v="4"/>
    <x v="5"/>
    <n v="15"/>
    <n v="97.37"/>
    <n v="1460.55"/>
    <n v="15"/>
    <x v="220"/>
  </r>
  <r>
    <s v="ORD0222"/>
    <x v="171"/>
    <x v="0"/>
    <x v="5"/>
    <x v="4"/>
    <n v="7"/>
    <n v="501.95"/>
    <n v="3513.65"/>
    <n v="10"/>
    <x v="221"/>
  </r>
  <r>
    <s v="ORD0223"/>
    <x v="172"/>
    <x v="3"/>
    <x v="6"/>
    <x v="8"/>
    <n v="1"/>
    <n v="810.93"/>
    <n v="810.93"/>
    <n v="10"/>
    <x v="222"/>
  </r>
  <r>
    <s v="ORD0224"/>
    <x v="173"/>
    <x v="3"/>
    <x v="1"/>
    <x v="5"/>
    <n v="7"/>
    <n v="753.54"/>
    <n v="5274.78"/>
    <n v="10"/>
    <x v="223"/>
  </r>
  <r>
    <s v="ORD0225"/>
    <x v="174"/>
    <x v="1"/>
    <x v="9"/>
    <x v="6"/>
    <n v="15"/>
    <n v="165.89"/>
    <n v="2488.35"/>
    <n v="0"/>
    <x v="224"/>
  </r>
  <r>
    <s v="ORD0226"/>
    <x v="76"/>
    <x v="3"/>
    <x v="3"/>
    <x v="2"/>
    <n v="9"/>
    <n v="324.91000000000003"/>
    <n v="2924.19"/>
    <n v="5"/>
    <x v="225"/>
  </r>
  <r>
    <s v="ORD0227"/>
    <x v="175"/>
    <x v="3"/>
    <x v="3"/>
    <x v="3"/>
    <n v="5"/>
    <n v="221.3"/>
    <n v="1106.5"/>
    <n v="5"/>
    <x v="226"/>
  </r>
  <r>
    <s v="ORD0228"/>
    <x v="111"/>
    <x v="1"/>
    <x v="5"/>
    <x v="9"/>
    <n v="6"/>
    <n v="944.33"/>
    <n v="5665.98"/>
    <n v="10"/>
    <x v="227"/>
  </r>
  <r>
    <s v="ORD0229"/>
    <x v="129"/>
    <x v="0"/>
    <x v="8"/>
    <x v="7"/>
    <n v="15"/>
    <n v="647.57000000000005"/>
    <n v="9713.5499999999993"/>
    <n v="20"/>
    <x v="228"/>
  </r>
  <r>
    <s v="ORD0230"/>
    <x v="40"/>
    <x v="2"/>
    <x v="7"/>
    <x v="0"/>
    <n v="7"/>
    <n v="175.19"/>
    <n v="1226.33"/>
    <n v="5"/>
    <x v="229"/>
  </r>
  <r>
    <s v="ORD0231"/>
    <x v="129"/>
    <x v="0"/>
    <x v="7"/>
    <x v="6"/>
    <n v="9"/>
    <n v="226.78"/>
    <n v="2041.02"/>
    <n v="20"/>
    <x v="230"/>
  </r>
  <r>
    <s v="ORD0232"/>
    <x v="113"/>
    <x v="1"/>
    <x v="4"/>
    <x v="6"/>
    <n v="1"/>
    <n v="294.52999999999997"/>
    <n v="294.52999999999997"/>
    <n v="15"/>
    <x v="231"/>
  </r>
  <r>
    <s v="ORD0233"/>
    <x v="60"/>
    <x v="0"/>
    <x v="4"/>
    <x v="1"/>
    <n v="10"/>
    <n v="633.92999999999995"/>
    <n v="6339.3"/>
    <n v="5"/>
    <x v="232"/>
  </r>
  <r>
    <s v="ORD0234"/>
    <x v="22"/>
    <x v="3"/>
    <x v="0"/>
    <x v="7"/>
    <n v="13"/>
    <n v="533.11"/>
    <n v="6930.43"/>
    <n v="20"/>
    <x v="233"/>
  </r>
  <r>
    <s v="ORD0235"/>
    <x v="19"/>
    <x v="1"/>
    <x v="1"/>
    <x v="9"/>
    <n v="5"/>
    <n v="176.73"/>
    <n v="883.65"/>
    <n v="5"/>
    <x v="234"/>
  </r>
  <r>
    <s v="ORD0236"/>
    <x v="176"/>
    <x v="2"/>
    <x v="8"/>
    <x v="3"/>
    <n v="19"/>
    <n v="286.23"/>
    <n v="5438.37"/>
    <n v="5"/>
    <x v="235"/>
  </r>
  <r>
    <s v="ORD0237"/>
    <x v="111"/>
    <x v="1"/>
    <x v="3"/>
    <x v="0"/>
    <n v="5"/>
    <n v="517.19000000000005"/>
    <n v="2585.9499999999998"/>
    <n v="10"/>
    <x v="236"/>
  </r>
  <r>
    <s v="ORD0238"/>
    <x v="177"/>
    <x v="1"/>
    <x v="9"/>
    <x v="4"/>
    <n v="9"/>
    <n v="595.23"/>
    <n v="5357.07"/>
    <n v="15"/>
    <x v="237"/>
  </r>
  <r>
    <s v="ORD0239"/>
    <x v="150"/>
    <x v="2"/>
    <x v="6"/>
    <x v="0"/>
    <n v="15"/>
    <n v="540.88"/>
    <n v="8113.2"/>
    <n v="0"/>
    <x v="238"/>
  </r>
  <r>
    <s v="ORD0240"/>
    <x v="178"/>
    <x v="1"/>
    <x v="6"/>
    <x v="0"/>
    <n v="17"/>
    <n v="799.76"/>
    <n v="13595.92"/>
    <n v="5"/>
    <x v="239"/>
  </r>
  <r>
    <s v="ORD0241"/>
    <x v="104"/>
    <x v="1"/>
    <x v="4"/>
    <x v="2"/>
    <n v="5"/>
    <n v="824.07"/>
    <n v="4120.3500000000004"/>
    <n v="0"/>
    <x v="240"/>
  </r>
  <r>
    <s v="ORD0242"/>
    <x v="179"/>
    <x v="3"/>
    <x v="9"/>
    <x v="9"/>
    <n v="7"/>
    <n v="325.66000000000003"/>
    <n v="2279.62"/>
    <n v="0"/>
    <x v="241"/>
  </r>
  <r>
    <s v="ORD0243"/>
    <x v="178"/>
    <x v="2"/>
    <x v="5"/>
    <x v="9"/>
    <n v="10"/>
    <n v="793.51"/>
    <n v="7935.1"/>
    <n v="0"/>
    <x v="242"/>
  </r>
  <r>
    <s v="ORD0244"/>
    <x v="52"/>
    <x v="3"/>
    <x v="9"/>
    <x v="4"/>
    <n v="2"/>
    <n v="992.49"/>
    <n v="1984.98"/>
    <n v="20"/>
    <x v="243"/>
  </r>
  <r>
    <s v="ORD0245"/>
    <x v="87"/>
    <x v="3"/>
    <x v="5"/>
    <x v="2"/>
    <n v="9"/>
    <n v="158.16999999999999"/>
    <n v="1423.53"/>
    <n v="15"/>
    <x v="244"/>
  </r>
  <r>
    <s v="ORD0246"/>
    <x v="59"/>
    <x v="1"/>
    <x v="4"/>
    <x v="5"/>
    <n v="15"/>
    <n v="118.16"/>
    <n v="1772.4"/>
    <n v="10"/>
    <x v="245"/>
  </r>
  <r>
    <s v="ORD0247"/>
    <x v="86"/>
    <x v="0"/>
    <x v="4"/>
    <x v="4"/>
    <n v="15"/>
    <n v="995.7"/>
    <n v="14935.5"/>
    <n v="15"/>
    <x v="246"/>
  </r>
  <r>
    <s v="ORD0248"/>
    <x v="88"/>
    <x v="1"/>
    <x v="9"/>
    <x v="2"/>
    <n v="12"/>
    <n v="172.6"/>
    <n v="2071.1999999999998"/>
    <n v="15"/>
    <x v="247"/>
  </r>
  <r>
    <s v="ORD0249"/>
    <x v="16"/>
    <x v="3"/>
    <x v="0"/>
    <x v="6"/>
    <n v="13"/>
    <n v="91.95"/>
    <n v="1195.3499999999999"/>
    <n v="20"/>
    <x v="248"/>
  </r>
  <r>
    <s v="ORD0250"/>
    <x v="180"/>
    <x v="1"/>
    <x v="4"/>
    <x v="0"/>
    <n v="17"/>
    <n v="190.59"/>
    <n v="3240.03"/>
    <n v="5"/>
    <x v="249"/>
  </r>
  <r>
    <s v="ORD0251"/>
    <x v="181"/>
    <x v="1"/>
    <x v="1"/>
    <x v="7"/>
    <n v="18"/>
    <n v="162.05000000000001"/>
    <n v="2916.9"/>
    <n v="20"/>
    <x v="250"/>
  </r>
  <r>
    <s v="ORD0252"/>
    <x v="182"/>
    <x v="1"/>
    <x v="6"/>
    <x v="8"/>
    <n v="13"/>
    <n v="382.53"/>
    <n v="4972.8900000000003"/>
    <n v="15"/>
    <x v="251"/>
  </r>
  <r>
    <s v="ORD0253"/>
    <x v="101"/>
    <x v="3"/>
    <x v="4"/>
    <x v="0"/>
    <n v="20"/>
    <n v="691.8"/>
    <n v="13836"/>
    <n v="15"/>
    <x v="252"/>
  </r>
  <r>
    <s v="ORD0254"/>
    <x v="32"/>
    <x v="0"/>
    <x v="0"/>
    <x v="1"/>
    <n v="1"/>
    <n v="56.62"/>
    <n v="56.62"/>
    <n v="15"/>
    <x v="253"/>
  </r>
  <r>
    <s v="ORD0255"/>
    <x v="183"/>
    <x v="2"/>
    <x v="6"/>
    <x v="5"/>
    <n v="13"/>
    <n v="326.8"/>
    <n v="4248.3999999999996"/>
    <n v="10"/>
    <x v="254"/>
  </r>
  <r>
    <s v="ORD0256"/>
    <x v="184"/>
    <x v="3"/>
    <x v="6"/>
    <x v="8"/>
    <n v="14"/>
    <n v="423.88"/>
    <n v="5934.32"/>
    <n v="5"/>
    <x v="255"/>
  </r>
  <r>
    <s v="ORD0257"/>
    <x v="64"/>
    <x v="2"/>
    <x v="1"/>
    <x v="2"/>
    <n v="1"/>
    <n v="298.20999999999998"/>
    <n v="298.20999999999998"/>
    <n v="5"/>
    <x v="256"/>
  </r>
  <r>
    <s v="ORD0258"/>
    <x v="185"/>
    <x v="3"/>
    <x v="1"/>
    <x v="6"/>
    <n v="2"/>
    <n v="349.77"/>
    <n v="699.54"/>
    <n v="0"/>
    <x v="257"/>
  </r>
  <r>
    <s v="ORD0259"/>
    <x v="186"/>
    <x v="3"/>
    <x v="0"/>
    <x v="6"/>
    <n v="7"/>
    <n v="953.31"/>
    <n v="6673.17"/>
    <n v="10"/>
    <x v="258"/>
  </r>
  <r>
    <s v="ORD0260"/>
    <x v="187"/>
    <x v="0"/>
    <x v="4"/>
    <x v="5"/>
    <n v="9"/>
    <n v="605.63"/>
    <n v="5450.67"/>
    <n v="5"/>
    <x v="259"/>
  </r>
  <r>
    <s v="ORD0261"/>
    <x v="188"/>
    <x v="0"/>
    <x v="1"/>
    <x v="2"/>
    <n v="14"/>
    <n v="998.65"/>
    <n v="13981.1"/>
    <n v="5"/>
    <x v="260"/>
  </r>
  <r>
    <s v="ORD0262"/>
    <x v="44"/>
    <x v="1"/>
    <x v="1"/>
    <x v="0"/>
    <n v="15"/>
    <n v="257.8"/>
    <n v="3867"/>
    <n v="5"/>
    <x v="261"/>
  </r>
  <r>
    <s v="ORD0263"/>
    <x v="130"/>
    <x v="1"/>
    <x v="1"/>
    <x v="2"/>
    <n v="3"/>
    <n v="146.72"/>
    <n v="440.16"/>
    <n v="5"/>
    <x v="262"/>
  </r>
  <r>
    <s v="ORD0264"/>
    <x v="94"/>
    <x v="2"/>
    <x v="5"/>
    <x v="8"/>
    <n v="3"/>
    <n v="976.32"/>
    <n v="2928.96"/>
    <n v="0"/>
    <x v="263"/>
  </r>
  <r>
    <s v="ORD0265"/>
    <x v="57"/>
    <x v="2"/>
    <x v="3"/>
    <x v="7"/>
    <n v="5"/>
    <n v="381.35"/>
    <n v="1906.75"/>
    <n v="15"/>
    <x v="264"/>
  </r>
  <r>
    <s v="ORD0266"/>
    <x v="24"/>
    <x v="2"/>
    <x v="3"/>
    <x v="9"/>
    <n v="12"/>
    <n v="261.10000000000002"/>
    <n v="3133.2"/>
    <n v="15"/>
    <x v="265"/>
  </r>
  <r>
    <s v="ORD0267"/>
    <x v="27"/>
    <x v="0"/>
    <x v="5"/>
    <x v="9"/>
    <n v="14"/>
    <n v="154.58000000000001"/>
    <n v="2164.12"/>
    <n v="15"/>
    <x v="266"/>
  </r>
  <r>
    <s v="ORD0268"/>
    <x v="100"/>
    <x v="0"/>
    <x v="6"/>
    <x v="3"/>
    <n v="6"/>
    <n v="559.9"/>
    <n v="3359.4"/>
    <n v="20"/>
    <x v="267"/>
  </r>
  <r>
    <s v="ORD0269"/>
    <x v="189"/>
    <x v="3"/>
    <x v="9"/>
    <x v="0"/>
    <n v="9"/>
    <n v="990.87"/>
    <n v="8917.83"/>
    <n v="15"/>
    <x v="268"/>
  </r>
  <r>
    <s v="ORD0270"/>
    <x v="116"/>
    <x v="2"/>
    <x v="0"/>
    <x v="5"/>
    <n v="5"/>
    <n v="552.96"/>
    <n v="2764.8"/>
    <n v="10"/>
    <x v="269"/>
  </r>
  <r>
    <s v="ORD0271"/>
    <x v="47"/>
    <x v="0"/>
    <x v="8"/>
    <x v="2"/>
    <n v="7"/>
    <n v="591.91"/>
    <n v="4143.37"/>
    <n v="20"/>
    <x v="270"/>
  </r>
  <r>
    <s v="ORD0272"/>
    <x v="136"/>
    <x v="2"/>
    <x v="5"/>
    <x v="5"/>
    <n v="7"/>
    <n v="657.46"/>
    <n v="4602.22"/>
    <n v="15"/>
    <x v="271"/>
  </r>
  <r>
    <s v="ORD0273"/>
    <x v="134"/>
    <x v="3"/>
    <x v="5"/>
    <x v="1"/>
    <n v="18"/>
    <n v="557.27"/>
    <n v="10030.86"/>
    <n v="10"/>
    <x v="272"/>
  </r>
  <r>
    <s v="ORD0274"/>
    <x v="105"/>
    <x v="2"/>
    <x v="7"/>
    <x v="5"/>
    <n v="12"/>
    <n v="997.02"/>
    <n v="11964.24"/>
    <n v="10"/>
    <x v="273"/>
  </r>
  <r>
    <s v="ORD0275"/>
    <x v="190"/>
    <x v="3"/>
    <x v="5"/>
    <x v="9"/>
    <n v="2"/>
    <n v="446.95"/>
    <n v="893.9"/>
    <n v="0"/>
    <x v="274"/>
  </r>
  <r>
    <s v="ORD0276"/>
    <x v="68"/>
    <x v="3"/>
    <x v="9"/>
    <x v="5"/>
    <n v="2"/>
    <n v="480.54"/>
    <n v="961.08"/>
    <n v="5"/>
    <x v="275"/>
  </r>
  <r>
    <s v="ORD0277"/>
    <x v="191"/>
    <x v="0"/>
    <x v="7"/>
    <x v="2"/>
    <n v="14"/>
    <n v="617.45000000000005"/>
    <n v="8644.2999999999993"/>
    <n v="10"/>
    <x v="276"/>
  </r>
  <r>
    <s v="ORD0278"/>
    <x v="192"/>
    <x v="1"/>
    <x v="5"/>
    <x v="1"/>
    <n v="6"/>
    <n v="488.57"/>
    <n v="2931.42"/>
    <n v="10"/>
    <x v="277"/>
  </r>
  <r>
    <s v="ORD0279"/>
    <x v="193"/>
    <x v="2"/>
    <x v="2"/>
    <x v="5"/>
    <n v="4"/>
    <n v="140.88999999999999"/>
    <n v="563.55999999999995"/>
    <n v="10"/>
    <x v="278"/>
  </r>
  <r>
    <s v="ORD0280"/>
    <x v="177"/>
    <x v="0"/>
    <x v="6"/>
    <x v="4"/>
    <n v="5"/>
    <n v="240.06"/>
    <n v="1200.3"/>
    <n v="15"/>
    <x v="279"/>
  </r>
  <r>
    <s v="ORD0281"/>
    <x v="125"/>
    <x v="2"/>
    <x v="9"/>
    <x v="0"/>
    <n v="6"/>
    <n v="290.38"/>
    <n v="1742.28"/>
    <n v="10"/>
    <x v="280"/>
  </r>
  <r>
    <s v="ORD0282"/>
    <x v="194"/>
    <x v="0"/>
    <x v="9"/>
    <x v="1"/>
    <n v="11"/>
    <n v="977.21"/>
    <n v="10749.31"/>
    <n v="20"/>
    <x v="281"/>
  </r>
  <r>
    <s v="ORD0283"/>
    <x v="32"/>
    <x v="3"/>
    <x v="6"/>
    <x v="0"/>
    <n v="19"/>
    <n v="722.48"/>
    <n v="13727.12"/>
    <n v="20"/>
    <x v="282"/>
  </r>
  <r>
    <s v="ORD0284"/>
    <x v="54"/>
    <x v="1"/>
    <x v="4"/>
    <x v="5"/>
    <n v="16"/>
    <n v="813.2"/>
    <n v="13011.2"/>
    <n v="5"/>
    <x v="283"/>
  </r>
  <r>
    <s v="ORD0285"/>
    <x v="104"/>
    <x v="0"/>
    <x v="4"/>
    <x v="1"/>
    <n v="17"/>
    <n v="827.28"/>
    <n v="14063.76"/>
    <n v="20"/>
    <x v="284"/>
  </r>
  <r>
    <s v="ORD0286"/>
    <x v="7"/>
    <x v="3"/>
    <x v="7"/>
    <x v="8"/>
    <n v="12"/>
    <n v="392.12"/>
    <n v="4705.4399999999996"/>
    <n v="0"/>
    <x v="285"/>
  </r>
  <r>
    <s v="ORD0287"/>
    <x v="195"/>
    <x v="1"/>
    <x v="5"/>
    <x v="8"/>
    <n v="12"/>
    <n v="754.86"/>
    <n v="9058.32"/>
    <n v="15"/>
    <x v="286"/>
  </r>
  <r>
    <s v="ORD0288"/>
    <x v="196"/>
    <x v="0"/>
    <x v="5"/>
    <x v="6"/>
    <n v="10"/>
    <n v="990.3"/>
    <n v="9903"/>
    <n v="5"/>
    <x v="287"/>
  </r>
  <r>
    <s v="ORD0289"/>
    <x v="88"/>
    <x v="1"/>
    <x v="9"/>
    <x v="9"/>
    <n v="14"/>
    <n v="364.9"/>
    <n v="5108.6000000000004"/>
    <n v="0"/>
    <x v="288"/>
  </r>
  <r>
    <s v="ORD0290"/>
    <x v="50"/>
    <x v="0"/>
    <x v="6"/>
    <x v="3"/>
    <n v="18"/>
    <n v="429.73"/>
    <n v="7735.14"/>
    <n v="0"/>
    <x v="289"/>
  </r>
  <r>
    <s v="ORD0291"/>
    <x v="197"/>
    <x v="1"/>
    <x v="2"/>
    <x v="1"/>
    <n v="13"/>
    <n v="919.43"/>
    <n v="11952.59"/>
    <n v="20"/>
    <x v="290"/>
  </r>
  <r>
    <s v="ORD0292"/>
    <x v="176"/>
    <x v="2"/>
    <x v="9"/>
    <x v="9"/>
    <n v="14"/>
    <n v="986.94"/>
    <n v="13817.16"/>
    <n v="15"/>
    <x v="291"/>
  </r>
  <r>
    <s v="ORD0293"/>
    <x v="10"/>
    <x v="0"/>
    <x v="0"/>
    <x v="6"/>
    <n v="3"/>
    <n v="83.87"/>
    <n v="251.61"/>
    <n v="15"/>
    <x v="292"/>
  </r>
  <r>
    <s v="ORD0294"/>
    <x v="189"/>
    <x v="0"/>
    <x v="1"/>
    <x v="0"/>
    <n v="15"/>
    <n v="829.63"/>
    <n v="12444.45"/>
    <n v="0"/>
    <x v="293"/>
  </r>
  <r>
    <s v="ORD0295"/>
    <x v="198"/>
    <x v="3"/>
    <x v="6"/>
    <x v="7"/>
    <n v="13"/>
    <n v="267.13"/>
    <n v="3472.69"/>
    <n v="10"/>
    <x v="294"/>
  </r>
  <r>
    <s v="ORD0296"/>
    <x v="107"/>
    <x v="3"/>
    <x v="0"/>
    <x v="0"/>
    <n v="8"/>
    <n v="596.36"/>
    <n v="4770.88"/>
    <n v="0"/>
    <x v="295"/>
  </r>
  <r>
    <s v="ORD0297"/>
    <x v="29"/>
    <x v="1"/>
    <x v="8"/>
    <x v="1"/>
    <n v="2"/>
    <n v="925.26"/>
    <n v="1850.52"/>
    <n v="20"/>
    <x v="296"/>
  </r>
  <r>
    <s v="ORD0298"/>
    <x v="199"/>
    <x v="3"/>
    <x v="0"/>
    <x v="6"/>
    <n v="15"/>
    <n v="289.72000000000003"/>
    <n v="4345.8"/>
    <n v="10"/>
    <x v="297"/>
  </r>
  <r>
    <s v="ORD0299"/>
    <x v="4"/>
    <x v="0"/>
    <x v="8"/>
    <x v="0"/>
    <n v="1"/>
    <n v="647"/>
    <n v="647"/>
    <n v="10"/>
    <x v="298"/>
  </r>
  <r>
    <s v="ORD0300"/>
    <x v="200"/>
    <x v="0"/>
    <x v="3"/>
    <x v="4"/>
    <n v="2"/>
    <n v="457.32"/>
    <n v="914.64"/>
    <n v="0"/>
    <x v="299"/>
  </r>
  <r>
    <s v="ORD0301"/>
    <x v="200"/>
    <x v="3"/>
    <x v="6"/>
    <x v="4"/>
    <n v="11"/>
    <n v="475.21"/>
    <n v="5227.3100000000004"/>
    <n v="20"/>
    <x v="300"/>
  </r>
  <r>
    <s v="ORD0302"/>
    <x v="201"/>
    <x v="1"/>
    <x v="7"/>
    <x v="8"/>
    <n v="14"/>
    <n v="913.93"/>
    <n v="12795.02"/>
    <n v="10"/>
    <x v="301"/>
  </r>
  <r>
    <s v="ORD0303"/>
    <x v="196"/>
    <x v="1"/>
    <x v="5"/>
    <x v="2"/>
    <n v="5"/>
    <n v="683.1"/>
    <n v="3415.5"/>
    <n v="10"/>
    <x v="302"/>
  </r>
  <r>
    <s v="ORD0304"/>
    <x v="25"/>
    <x v="2"/>
    <x v="0"/>
    <x v="7"/>
    <n v="12"/>
    <n v="253.22"/>
    <n v="3038.64"/>
    <n v="0"/>
    <x v="303"/>
  </r>
  <r>
    <s v="ORD0305"/>
    <x v="72"/>
    <x v="3"/>
    <x v="0"/>
    <x v="8"/>
    <n v="3"/>
    <n v="883.57"/>
    <n v="2650.71"/>
    <n v="0"/>
    <x v="304"/>
  </r>
  <r>
    <s v="ORD0306"/>
    <x v="180"/>
    <x v="1"/>
    <x v="3"/>
    <x v="5"/>
    <n v="9"/>
    <n v="829.03"/>
    <n v="7461.27"/>
    <n v="5"/>
    <x v="305"/>
  </r>
  <r>
    <s v="ORD0307"/>
    <x v="155"/>
    <x v="3"/>
    <x v="6"/>
    <x v="4"/>
    <n v="19"/>
    <n v="976.66"/>
    <n v="18556.54"/>
    <n v="20"/>
    <x v="306"/>
  </r>
  <r>
    <s v="ORD0308"/>
    <x v="42"/>
    <x v="2"/>
    <x v="3"/>
    <x v="4"/>
    <n v="4"/>
    <n v="645.89"/>
    <n v="2583.56"/>
    <n v="10"/>
    <x v="307"/>
  </r>
  <r>
    <s v="ORD0309"/>
    <x v="202"/>
    <x v="0"/>
    <x v="7"/>
    <x v="7"/>
    <n v="9"/>
    <n v="668.78"/>
    <n v="6019.02"/>
    <n v="20"/>
    <x v="308"/>
  </r>
  <r>
    <s v="ORD0310"/>
    <x v="203"/>
    <x v="1"/>
    <x v="5"/>
    <x v="0"/>
    <n v="11"/>
    <n v="187.45"/>
    <n v="2061.9499999999998"/>
    <n v="0"/>
    <x v="309"/>
  </r>
  <r>
    <s v="ORD0311"/>
    <x v="204"/>
    <x v="3"/>
    <x v="6"/>
    <x v="3"/>
    <n v="7"/>
    <n v="732.3"/>
    <n v="5126.1000000000004"/>
    <n v="15"/>
    <x v="310"/>
  </r>
  <r>
    <s v="ORD0312"/>
    <x v="180"/>
    <x v="3"/>
    <x v="0"/>
    <x v="2"/>
    <n v="12"/>
    <n v="360.85"/>
    <n v="4330.2"/>
    <n v="5"/>
    <x v="311"/>
  </r>
  <r>
    <s v="ORD0313"/>
    <x v="205"/>
    <x v="1"/>
    <x v="5"/>
    <x v="9"/>
    <n v="17"/>
    <n v="715.13"/>
    <n v="12157.21"/>
    <n v="0"/>
    <x v="312"/>
  </r>
  <r>
    <s v="ORD0314"/>
    <x v="133"/>
    <x v="2"/>
    <x v="5"/>
    <x v="7"/>
    <n v="5"/>
    <n v="405.01"/>
    <n v="2025.05"/>
    <n v="15"/>
    <x v="313"/>
  </r>
  <r>
    <s v="ORD0315"/>
    <x v="47"/>
    <x v="3"/>
    <x v="6"/>
    <x v="6"/>
    <n v="11"/>
    <n v="96.67"/>
    <n v="1063.3699999999999"/>
    <n v="15"/>
    <x v="314"/>
  </r>
  <r>
    <s v="ORD0316"/>
    <x v="94"/>
    <x v="2"/>
    <x v="3"/>
    <x v="5"/>
    <n v="20"/>
    <n v="863.05"/>
    <n v="17261"/>
    <n v="5"/>
    <x v="315"/>
  </r>
  <r>
    <s v="ORD0317"/>
    <x v="9"/>
    <x v="0"/>
    <x v="0"/>
    <x v="1"/>
    <n v="15"/>
    <n v="646.04"/>
    <n v="9690.6"/>
    <n v="5"/>
    <x v="316"/>
  </r>
  <r>
    <s v="ORD0318"/>
    <x v="206"/>
    <x v="0"/>
    <x v="3"/>
    <x v="0"/>
    <n v="15"/>
    <n v="354.85"/>
    <n v="5322.75"/>
    <n v="15"/>
    <x v="317"/>
  </r>
  <r>
    <s v="ORD0319"/>
    <x v="207"/>
    <x v="1"/>
    <x v="5"/>
    <x v="3"/>
    <n v="9"/>
    <n v="739.9"/>
    <n v="6659.1"/>
    <n v="0"/>
    <x v="318"/>
  </r>
  <r>
    <s v="ORD0320"/>
    <x v="208"/>
    <x v="0"/>
    <x v="5"/>
    <x v="5"/>
    <n v="8"/>
    <n v="516.33000000000004"/>
    <n v="4130.6400000000003"/>
    <n v="15"/>
    <x v="319"/>
  </r>
  <r>
    <s v="ORD0321"/>
    <x v="209"/>
    <x v="3"/>
    <x v="2"/>
    <x v="9"/>
    <n v="6"/>
    <n v="878.58"/>
    <n v="5271.48"/>
    <n v="20"/>
    <x v="320"/>
  </r>
  <r>
    <s v="ORD0322"/>
    <x v="210"/>
    <x v="0"/>
    <x v="7"/>
    <x v="7"/>
    <n v="19"/>
    <n v="534.33000000000004"/>
    <n v="10152.27"/>
    <n v="5"/>
    <x v="321"/>
  </r>
  <r>
    <s v="ORD0323"/>
    <x v="211"/>
    <x v="2"/>
    <x v="1"/>
    <x v="8"/>
    <n v="11"/>
    <n v="513.35"/>
    <n v="5646.85"/>
    <n v="0"/>
    <x v="322"/>
  </r>
  <r>
    <s v="ORD0324"/>
    <x v="46"/>
    <x v="0"/>
    <x v="6"/>
    <x v="3"/>
    <n v="16"/>
    <n v="781.11"/>
    <n v="12497.76"/>
    <n v="20"/>
    <x v="323"/>
  </r>
  <r>
    <s v="ORD0325"/>
    <x v="162"/>
    <x v="0"/>
    <x v="9"/>
    <x v="8"/>
    <n v="9"/>
    <n v="610.1"/>
    <n v="5490.9"/>
    <n v="10"/>
    <x v="324"/>
  </r>
  <r>
    <s v="ORD0326"/>
    <x v="162"/>
    <x v="0"/>
    <x v="9"/>
    <x v="9"/>
    <n v="4"/>
    <n v="990.34"/>
    <n v="3961.36"/>
    <n v="5"/>
    <x v="325"/>
  </r>
  <r>
    <s v="ORD0327"/>
    <x v="147"/>
    <x v="2"/>
    <x v="4"/>
    <x v="6"/>
    <n v="12"/>
    <n v="600.42999999999995"/>
    <n v="7205.16"/>
    <n v="5"/>
    <x v="326"/>
  </r>
  <r>
    <s v="ORD0328"/>
    <x v="212"/>
    <x v="1"/>
    <x v="5"/>
    <x v="0"/>
    <n v="11"/>
    <n v="256.82"/>
    <n v="2825.02"/>
    <n v="5"/>
    <x v="327"/>
  </r>
  <r>
    <s v="ORD0329"/>
    <x v="167"/>
    <x v="1"/>
    <x v="3"/>
    <x v="4"/>
    <n v="5"/>
    <n v="433.68"/>
    <n v="2168.4"/>
    <n v="20"/>
    <x v="328"/>
  </r>
  <r>
    <s v="ORD0330"/>
    <x v="163"/>
    <x v="2"/>
    <x v="4"/>
    <x v="2"/>
    <n v="16"/>
    <n v="546.51"/>
    <n v="8744.16"/>
    <n v="15"/>
    <x v="329"/>
  </r>
  <r>
    <s v="ORD0331"/>
    <x v="203"/>
    <x v="0"/>
    <x v="3"/>
    <x v="3"/>
    <n v="2"/>
    <n v="682.57"/>
    <n v="1365.14"/>
    <n v="5"/>
    <x v="330"/>
  </r>
  <r>
    <s v="ORD0332"/>
    <x v="213"/>
    <x v="1"/>
    <x v="5"/>
    <x v="9"/>
    <n v="14"/>
    <n v="743.93"/>
    <n v="10415.02"/>
    <n v="0"/>
    <x v="331"/>
  </r>
  <r>
    <s v="ORD0333"/>
    <x v="88"/>
    <x v="3"/>
    <x v="6"/>
    <x v="1"/>
    <n v="10"/>
    <n v="498.25"/>
    <n v="4982.5"/>
    <n v="5"/>
    <x v="332"/>
  </r>
  <r>
    <s v="ORD0334"/>
    <x v="214"/>
    <x v="0"/>
    <x v="0"/>
    <x v="7"/>
    <n v="5"/>
    <n v="800.85"/>
    <n v="4004.25"/>
    <n v="10"/>
    <x v="333"/>
  </r>
  <r>
    <s v="ORD0335"/>
    <x v="59"/>
    <x v="3"/>
    <x v="5"/>
    <x v="9"/>
    <n v="16"/>
    <n v="685.57"/>
    <n v="10969.12"/>
    <n v="10"/>
    <x v="334"/>
  </r>
  <r>
    <s v="ORD0336"/>
    <x v="116"/>
    <x v="3"/>
    <x v="4"/>
    <x v="2"/>
    <n v="7"/>
    <n v="478.25"/>
    <n v="3347.75"/>
    <n v="10"/>
    <x v="335"/>
  </r>
  <r>
    <s v="ORD0337"/>
    <x v="215"/>
    <x v="1"/>
    <x v="6"/>
    <x v="2"/>
    <n v="13"/>
    <n v="444.44"/>
    <n v="5777.72"/>
    <n v="15"/>
    <x v="336"/>
  </r>
  <r>
    <s v="ORD0338"/>
    <x v="194"/>
    <x v="1"/>
    <x v="0"/>
    <x v="2"/>
    <n v="19"/>
    <n v="241.13"/>
    <n v="4581.47"/>
    <n v="20"/>
    <x v="337"/>
  </r>
  <r>
    <s v="ORD0339"/>
    <x v="213"/>
    <x v="3"/>
    <x v="2"/>
    <x v="9"/>
    <n v="18"/>
    <n v="659.13"/>
    <n v="11864.34"/>
    <n v="20"/>
    <x v="338"/>
  </r>
  <r>
    <s v="ORD0340"/>
    <x v="216"/>
    <x v="3"/>
    <x v="4"/>
    <x v="2"/>
    <n v="20"/>
    <n v="51.23"/>
    <n v="1024.5999999999999"/>
    <n v="5"/>
    <x v="339"/>
  </r>
  <r>
    <s v="ORD0341"/>
    <x v="61"/>
    <x v="0"/>
    <x v="1"/>
    <x v="4"/>
    <n v="8"/>
    <n v="748.07"/>
    <n v="5984.56"/>
    <n v="15"/>
    <x v="340"/>
  </r>
  <r>
    <s v="ORD0342"/>
    <x v="217"/>
    <x v="0"/>
    <x v="6"/>
    <x v="2"/>
    <n v="3"/>
    <n v="670.43"/>
    <n v="2011.29"/>
    <n v="5"/>
    <x v="341"/>
  </r>
  <r>
    <s v="ORD0343"/>
    <x v="218"/>
    <x v="0"/>
    <x v="9"/>
    <x v="6"/>
    <n v="15"/>
    <n v="754.4"/>
    <n v="11316"/>
    <n v="10"/>
    <x v="342"/>
  </r>
  <r>
    <s v="ORD0344"/>
    <x v="123"/>
    <x v="2"/>
    <x v="5"/>
    <x v="4"/>
    <n v="17"/>
    <n v="621.62"/>
    <n v="10567.54"/>
    <n v="5"/>
    <x v="343"/>
  </r>
  <r>
    <s v="ORD0345"/>
    <x v="219"/>
    <x v="0"/>
    <x v="2"/>
    <x v="4"/>
    <n v="19"/>
    <n v="949.35"/>
    <n v="18037.650000000001"/>
    <n v="10"/>
    <x v="344"/>
  </r>
  <r>
    <s v="ORD0346"/>
    <x v="220"/>
    <x v="1"/>
    <x v="3"/>
    <x v="0"/>
    <n v="5"/>
    <n v="276.95999999999998"/>
    <n v="1384.8"/>
    <n v="10"/>
    <x v="345"/>
  </r>
  <r>
    <s v="ORD0347"/>
    <x v="221"/>
    <x v="0"/>
    <x v="6"/>
    <x v="6"/>
    <n v="1"/>
    <n v="211.68"/>
    <n v="211.68"/>
    <n v="5"/>
    <x v="346"/>
  </r>
  <r>
    <s v="ORD0348"/>
    <x v="122"/>
    <x v="0"/>
    <x v="0"/>
    <x v="8"/>
    <n v="1"/>
    <n v="170.15"/>
    <n v="170.15"/>
    <n v="10"/>
    <x v="347"/>
  </r>
  <r>
    <s v="ORD0349"/>
    <x v="222"/>
    <x v="2"/>
    <x v="4"/>
    <x v="9"/>
    <n v="4"/>
    <n v="53.29"/>
    <n v="213.16"/>
    <n v="15"/>
    <x v="348"/>
  </r>
  <r>
    <s v="ORD0350"/>
    <x v="223"/>
    <x v="2"/>
    <x v="0"/>
    <x v="1"/>
    <n v="17"/>
    <n v="200.19"/>
    <n v="3403.23"/>
    <n v="5"/>
    <x v="349"/>
  </r>
  <r>
    <s v="ORD0351"/>
    <x v="161"/>
    <x v="3"/>
    <x v="0"/>
    <x v="0"/>
    <n v="15"/>
    <n v="727.58"/>
    <n v="10913.7"/>
    <n v="15"/>
    <x v="350"/>
  </r>
  <r>
    <s v="ORD0352"/>
    <x v="224"/>
    <x v="1"/>
    <x v="4"/>
    <x v="6"/>
    <n v="11"/>
    <n v="137.80000000000001"/>
    <n v="1515.8"/>
    <n v="15"/>
    <x v="351"/>
  </r>
  <r>
    <s v="ORD0353"/>
    <x v="12"/>
    <x v="0"/>
    <x v="8"/>
    <x v="9"/>
    <n v="4"/>
    <n v="783.77"/>
    <n v="3135.08"/>
    <n v="15"/>
    <x v="352"/>
  </r>
  <r>
    <s v="ORD0354"/>
    <x v="20"/>
    <x v="1"/>
    <x v="7"/>
    <x v="0"/>
    <n v="18"/>
    <n v="932.23"/>
    <n v="16780.14"/>
    <n v="5"/>
    <x v="353"/>
  </r>
  <r>
    <s v="ORD0355"/>
    <x v="67"/>
    <x v="2"/>
    <x v="6"/>
    <x v="6"/>
    <n v="18"/>
    <n v="416.18"/>
    <n v="7491.24"/>
    <n v="15"/>
    <x v="354"/>
  </r>
  <r>
    <s v="ORD0356"/>
    <x v="208"/>
    <x v="3"/>
    <x v="7"/>
    <x v="0"/>
    <n v="2"/>
    <n v="555.19000000000005"/>
    <n v="1110.3800000000001"/>
    <n v="20"/>
    <x v="355"/>
  </r>
  <r>
    <s v="ORD0357"/>
    <x v="203"/>
    <x v="1"/>
    <x v="6"/>
    <x v="7"/>
    <n v="5"/>
    <n v="188.59"/>
    <n v="942.95"/>
    <n v="20"/>
    <x v="356"/>
  </r>
  <r>
    <s v="ORD0358"/>
    <x v="88"/>
    <x v="0"/>
    <x v="0"/>
    <x v="6"/>
    <n v="17"/>
    <n v="856.25"/>
    <n v="14556.25"/>
    <n v="5"/>
    <x v="357"/>
  </r>
  <r>
    <s v="ORD0359"/>
    <x v="58"/>
    <x v="3"/>
    <x v="6"/>
    <x v="4"/>
    <n v="6"/>
    <n v="205.71"/>
    <n v="1234.26"/>
    <n v="20"/>
    <x v="358"/>
  </r>
  <r>
    <s v="ORD0360"/>
    <x v="225"/>
    <x v="3"/>
    <x v="8"/>
    <x v="2"/>
    <n v="7"/>
    <n v="313.72000000000003"/>
    <n v="2196.04"/>
    <n v="5"/>
    <x v="359"/>
  </r>
  <r>
    <s v="ORD0361"/>
    <x v="226"/>
    <x v="1"/>
    <x v="9"/>
    <x v="3"/>
    <n v="10"/>
    <n v="250.83"/>
    <n v="2508.3000000000002"/>
    <n v="15"/>
    <x v="360"/>
  </r>
  <r>
    <s v="ORD0362"/>
    <x v="227"/>
    <x v="3"/>
    <x v="9"/>
    <x v="0"/>
    <n v="3"/>
    <n v="820.65"/>
    <n v="2461.9499999999998"/>
    <n v="0"/>
    <x v="361"/>
  </r>
  <r>
    <s v="ORD0363"/>
    <x v="228"/>
    <x v="0"/>
    <x v="6"/>
    <x v="7"/>
    <n v="11"/>
    <n v="797.44"/>
    <n v="8771.84"/>
    <n v="5"/>
    <x v="362"/>
  </r>
  <r>
    <s v="ORD0364"/>
    <x v="183"/>
    <x v="1"/>
    <x v="2"/>
    <x v="6"/>
    <n v="5"/>
    <n v="138.59"/>
    <n v="692.95"/>
    <n v="0"/>
    <x v="363"/>
  </r>
  <r>
    <s v="ORD0365"/>
    <x v="20"/>
    <x v="2"/>
    <x v="7"/>
    <x v="0"/>
    <n v="16"/>
    <n v="361.36"/>
    <n v="5781.76"/>
    <n v="15"/>
    <x v="364"/>
  </r>
  <r>
    <s v="ORD0366"/>
    <x v="29"/>
    <x v="1"/>
    <x v="7"/>
    <x v="3"/>
    <n v="6"/>
    <n v="563.28"/>
    <n v="3379.68"/>
    <n v="20"/>
    <x v="365"/>
  </r>
  <r>
    <s v="ORD0367"/>
    <x v="34"/>
    <x v="0"/>
    <x v="9"/>
    <x v="3"/>
    <n v="2"/>
    <n v="823.9"/>
    <n v="1647.8"/>
    <n v="20"/>
    <x v="366"/>
  </r>
  <r>
    <s v="ORD0368"/>
    <x v="229"/>
    <x v="2"/>
    <x v="1"/>
    <x v="0"/>
    <n v="14"/>
    <n v="105.54"/>
    <n v="1477.56"/>
    <n v="0"/>
    <x v="367"/>
  </r>
  <r>
    <s v="ORD0369"/>
    <x v="230"/>
    <x v="0"/>
    <x v="4"/>
    <x v="8"/>
    <n v="11"/>
    <n v="188.73"/>
    <n v="2076.0300000000002"/>
    <n v="20"/>
    <x v="368"/>
  </r>
  <r>
    <s v="ORD0370"/>
    <x v="231"/>
    <x v="1"/>
    <x v="4"/>
    <x v="8"/>
    <n v="12"/>
    <n v="853.68"/>
    <n v="10244.16"/>
    <n v="5"/>
    <x v="369"/>
  </r>
  <r>
    <s v="ORD0371"/>
    <x v="119"/>
    <x v="3"/>
    <x v="2"/>
    <x v="2"/>
    <n v="4"/>
    <n v="870.52"/>
    <n v="3482.08"/>
    <n v="20"/>
    <x v="370"/>
  </r>
  <r>
    <s v="ORD0372"/>
    <x v="232"/>
    <x v="3"/>
    <x v="2"/>
    <x v="0"/>
    <n v="4"/>
    <n v="455.48"/>
    <n v="1821.92"/>
    <n v="10"/>
    <x v="371"/>
  </r>
  <r>
    <s v="ORD0373"/>
    <x v="173"/>
    <x v="2"/>
    <x v="0"/>
    <x v="4"/>
    <n v="13"/>
    <n v="739.77"/>
    <n v="9617.01"/>
    <n v="10"/>
    <x v="372"/>
  </r>
  <r>
    <s v="ORD0374"/>
    <x v="233"/>
    <x v="0"/>
    <x v="7"/>
    <x v="2"/>
    <n v="2"/>
    <n v="421.29"/>
    <n v="842.58"/>
    <n v="20"/>
    <x v="373"/>
  </r>
  <r>
    <s v="ORD0375"/>
    <x v="161"/>
    <x v="3"/>
    <x v="9"/>
    <x v="3"/>
    <n v="5"/>
    <n v="981.55"/>
    <n v="4907.75"/>
    <n v="5"/>
    <x v="374"/>
  </r>
  <r>
    <s v="ORD0376"/>
    <x v="172"/>
    <x v="2"/>
    <x v="7"/>
    <x v="2"/>
    <n v="7"/>
    <n v="918.01"/>
    <n v="6426.07"/>
    <n v="20"/>
    <x v="375"/>
  </r>
  <r>
    <s v="ORD0377"/>
    <x v="199"/>
    <x v="1"/>
    <x v="0"/>
    <x v="3"/>
    <n v="13"/>
    <n v="840.29"/>
    <n v="10923.77"/>
    <n v="20"/>
    <x v="376"/>
  </r>
  <r>
    <s v="ORD0378"/>
    <x v="234"/>
    <x v="1"/>
    <x v="7"/>
    <x v="6"/>
    <n v="6"/>
    <n v="184.47"/>
    <n v="1106.82"/>
    <n v="20"/>
    <x v="377"/>
  </r>
  <r>
    <s v="ORD0379"/>
    <x v="235"/>
    <x v="2"/>
    <x v="6"/>
    <x v="0"/>
    <n v="11"/>
    <n v="308.82"/>
    <n v="3397.02"/>
    <n v="20"/>
    <x v="378"/>
  </r>
  <r>
    <s v="ORD0380"/>
    <x v="146"/>
    <x v="2"/>
    <x v="1"/>
    <x v="4"/>
    <n v="13"/>
    <n v="290.2"/>
    <n v="3772.6"/>
    <n v="20"/>
    <x v="379"/>
  </r>
  <r>
    <s v="ORD0381"/>
    <x v="236"/>
    <x v="1"/>
    <x v="8"/>
    <x v="9"/>
    <n v="16"/>
    <n v="636.79"/>
    <n v="10188.64"/>
    <n v="5"/>
    <x v="380"/>
  </r>
  <r>
    <s v="ORD0382"/>
    <x v="67"/>
    <x v="0"/>
    <x v="3"/>
    <x v="3"/>
    <n v="9"/>
    <n v="223.82"/>
    <n v="2014.38"/>
    <n v="10"/>
    <x v="381"/>
  </r>
  <r>
    <s v="ORD0383"/>
    <x v="114"/>
    <x v="3"/>
    <x v="1"/>
    <x v="3"/>
    <n v="13"/>
    <n v="355.28"/>
    <n v="4618.6400000000003"/>
    <n v="10"/>
    <x v="382"/>
  </r>
  <r>
    <s v="ORD0384"/>
    <x v="39"/>
    <x v="2"/>
    <x v="9"/>
    <x v="4"/>
    <n v="16"/>
    <n v="120.81"/>
    <n v="1932.96"/>
    <n v="20"/>
    <x v="383"/>
  </r>
  <r>
    <s v="ORD0385"/>
    <x v="88"/>
    <x v="2"/>
    <x v="9"/>
    <x v="2"/>
    <n v="5"/>
    <n v="287.85000000000002"/>
    <n v="1439.25"/>
    <n v="10"/>
    <x v="384"/>
  </r>
  <r>
    <s v="ORD0386"/>
    <x v="95"/>
    <x v="3"/>
    <x v="4"/>
    <x v="2"/>
    <n v="13"/>
    <n v="729.29"/>
    <n v="9480.77"/>
    <n v="10"/>
    <x v="385"/>
  </r>
  <r>
    <s v="ORD0387"/>
    <x v="67"/>
    <x v="1"/>
    <x v="5"/>
    <x v="3"/>
    <n v="15"/>
    <n v="723.92"/>
    <n v="10858.8"/>
    <n v="0"/>
    <x v="386"/>
  </r>
  <r>
    <s v="ORD0388"/>
    <x v="161"/>
    <x v="3"/>
    <x v="7"/>
    <x v="5"/>
    <n v="2"/>
    <n v="369.84"/>
    <n v="739.68"/>
    <n v="10"/>
    <x v="387"/>
  </r>
  <r>
    <s v="ORD0389"/>
    <x v="110"/>
    <x v="0"/>
    <x v="4"/>
    <x v="3"/>
    <n v="10"/>
    <n v="78.489999999999995"/>
    <n v="784.9"/>
    <n v="20"/>
    <x v="388"/>
  </r>
  <r>
    <s v="ORD0390"/>
    <x v="8"/>
    <x v="3"/>
    <x v="0"/>
    <x v="8"/>
    <n v="3"/>
    <n v="770.92"/>
    <n v="2312.7600000000002"/>
    <n v="0"/>
    <x v="389"/>
  </r>
  <r>
    <s v="ORD0391"/>
    <x v="67"/>
    <x v="3"/>
    <x v="9"/>
    <x v="5"/>
    <n v="2"/>
    <n v="117.31"/>
    <n v="234.62"/>
    <n v="20"/>
    <x v="390"/>
  </r>
  <r>
    <s v="ORD0392"/>
    <x v="237"/>
    <x v="0"/>
    <x v="1"/>
    <x v="6"/>
    <n v="10"/>
    <n v="383.87"/>
    <n v="3838.7"/>
    <n v="10"/>
    <x v="391"/>
  </r>
  <r>
    <s v="ORD0393"/>
    <x v="108"/>
    <x v="0"/>
    <x v="2"/>
    <x v="0"/>
    <n v="9"/>
    <n v="780.14"/>
    <n v="7021.26"/>
    <n v="0"/>
    <x v="392"/>
  </r>
  <r>
    <s v="ORD0394"/>
    <x v="238"/>
    <x v="1"/>
    <x v="2"/>
    <x v="6"/>
    <n v="6"/>
    <n v="416.34"/>
    <n v="2498.04"/>
    <n v="0"/>
    <x v="393"/>
  </r>
  <r>
    <s v="ORD0395"/>
    <x v="239"/>
    <x v="1"/>
    <x v="1"/>
    <x v="1"/>
    <n v="18"/>
    <n v="837.8"/>
    <n v="15080.4"/>
    <n v="5"/>
    <x v="394"/>
  </r>
  <r>
    <s v="ORD0396"/>
    <x v="223"/>
    <x v="1"/>
    <x v="1"/>
    <x v="7"/>
    <n v="9"/>
    <n v="484.28"/>
    <n v="4358.5200000000004"/>
    <n v="10"/>
    <x v="395"/>
  </r>
  <r>
    <s v="ORD0397"/>
    <x v="240"/>
    <x v="1"/>
    <x v="2"/>
    <x v="7"/>
    <n v="3"/>
    <n v="473.23"/>
    <n v="1419.69"/>
    <n v="0"/>
    <x v="396"/>
  </r>
  <r>
    <s v="ORD0398"/>
    <x v="129"/>
    <x v="1"/>
    <x v="7"/>
    <x v="7"/>
    <n v="17"/>
    <n v="85.68"/>
    <n v="1456.56"/>
    <n v="0"/>
    <x v="397"/>
  </r>
  <r>
    <s v="ORD0399"/>
    <x v="232"/>
    <x v="1"/>
    <x v="4"/>
    <x v="0"/>
    <n v="17"/>
    <n v="761.86"/>
    <n v="12951.62"/>
    <n v="10"/>
    <x v="398"/>
  </r>
  <r>
    <s v="ORD0400"/>
    <x v="21"/>
    <x v="3"/>
    <x v="5"/>
    <x v="8"/>
    <n v="7"/>
    <n v="883.02"/>
    <n v="6181.14"/>
    <n v="10"/>
    <x v="399"/>
  </r>
  <r>
    <s v="ORD0401"/>
    <x v="52"/>
    <x v="3"/>
    <x v="9"/>
    <x v="7"/>
    <n v="1"/>
    <n v="817.92"/>
    <n v="817.92"/>
    <n v="0"/>
    <x v="400"/>
  </r>
  <r>
    <s v="ORD0402"/>
    <x v="157"/>
    <x v="0"/>
    <x v="8"/>
    <x v="6"/>
    <n v="14"/>
    <n v="667.29"/>
    <n v="9342.06"/>
    <n v="20"/>
    <x v="401"/>
  </r>
  <r>
    <s v="ORD0403"/>
    <x v="68"/>
    <x v="3"/>
    <x v="8"/>
    <x v="8"/>
    <n v="15"/>
    <n v="690.43"/>
    <n v="10356.450000000001"/>
    <n v="20"/>
    <x v="402"/>
  </r>
  <r>
    <s v="ORD0404"/>
    <x v="147"/>
    <x v="3"/>
    <x v="8"/>
    <x v="4"/>
    <n v="14"/>
    <n v="400.45"/>
    <n v="5606.3"/>
    <n v="10"/>
    <x v="403"/>
  </r>
  <r>
    <s v="ORD0405"/>
    <x v="79"/>
    <x v="0"/>
    <x v="6"/>
    <x v="3"/>
    <n v="14"/>
    <n v="633.38"/>
    <n v="8867.32"/>
    <n v="10"/>
    <x v="404"/>
  </r>
  <r>
    <s v="ORD0406"/>
    <x v="241"/>
    <x v="3"/>
    <x v="5"/>
    <x v="8"/>
    <n v="8"/>
    <n v="422.84"/>
    <n v="3382.72"/>
    <n v="15"/>
    <x v="405"/>
  </r>
  <r>
    <s v="ORD0407"/>
    <x v="187"/>
    <x v="3"/>
    <x v="2"/>
    <x v="7"/>
    <n v="6"/>
    <n v="182.09"/>
    <n v="1092.54"/>
    <n v="20"/>
    <x v="406"/>
  </r>
  <r>
    <s v="ORD0408"/>
    <x v="75"/>
    <x v="0"/>
    <x v="9"/>
    <x v="3"/>
    <n v="17"/>
    <n v="628.9"/>
    <n v="10691.3"/>
    <n v="20"/>
    <x v="407"/>
  </r>
  <r>
    <s v="ORD0409"/>
    <x v="242"/>
    <x v="2"/>
    <x v="9"/>
    <x v="4"/>
    <n v="6"/>
    <n v="601.4"/>
    <n v="3608.4"/>
    <n v="15"/>
    <x v="408"/>
  </r>
  <r>
    <s v="ORD0410"/>
    <x v="92"/>
    <x v="3"/>
    <x v="2"/>
    <x v="0"/>
    <n v="7"/>
    <n v="83.81"/>
    <n v="586.66999999999996"/>
    <n v="5"/>
    <x v="409"/>
  </r>
  <r>
    <s v="ORD0411"/>
    <x v="17"/>
    <x v="3"/>
    <x v="2"/>
    <x v="8"/>
    <n v="2"/>
    <n v="976.61"/>
    <n v="1953.22"/>
    <n v="15"/>
    <x v="410"/>
  </r>
  <r>
    <s v="ORD0412"/>
    <x v="24"/>
    <x v="0"/>
    <x v="1"/>
    <x v="4"/>
    <n v="10"/>
    <n v="631.05999999999995"/>
    <n v="6310.6"/>
    <n v="10"/>
    <x v="411"/>
  </r>
  <r>
    <s v="ORD0413"/>
    <x v="181"/>
    <x v="3"/>
    <x v="2"/>
    <x v="2"/>
    <n v="14"/>
    <n v="127.72"/>
    <n v="1788.08"/>
    <n v="0"/>
    <x v="412"/>
  </r>
  <r>
    <s v="ORD0414"/>
    <x v="14"/>
    <x v="1"/>
    <x v="3"/>
    <x v="6"/>
    <n v="10"/>
    <n v="506.7"/>
    <n v="5067"/>
    <n v="20"/>
    <x v="413"/>
  </r>
  <r>
    <s v="ORD0415"/>
    <x v="134"/>
    <x v="3"/>
    <x v="8"/>
    <x v="2"/>
    <n v="14"/>
    <n v="213.6"/>
    <n v="2990.4"/>
    <n v="5"/>
    <x v="414"/>
  </r>
  <r>
    <s v="ORD0416"/>
    <x v="243"/>
    <x v="1"/>
    <x v="2"/>
    <x v="5"/>
    <n v="2"/>
    <n v="969.88"/>
    <n v="1939.76"/>
    <n v="20"/>
    <x v="415"/>
  </r>
  <r>
    <s v="ORD0417"/>
    <x v="124"/>
    <x v="1"/>
    <x v="2"/>
    <x v="2"/>
    <n v="15"/>
    <n v="132.99"/>
    <n v="1994.85"/>
    <n v="5"/>
    <x v="416"/>
  </r>
  <r>
    <s v="ORD0418"/>
    <x v="244"/>
    <x v="2"/>
    <x v="5"/>
    <x v="0"/>
    <n v="2"/>
    <n v="967.52"/>
    <n v="1935.04"/>
    <n v="15"/>
    <x v="417"/>
  </r>
  <r>
    <s v="ORD0419"/>
    <x v="245"/>
    <x v="3"/>
    <x v="7"/>
    <x v="6"/>
    <n v="14"/>
    <n v="709.1"/>
    <n v="9927.4"/>
    <n v="20"/>
    <x v="418"/>
  </r>
  <r>
    <s v="ORD0420"/>
    <x v="246"/>
    <x v="1"/>
    <x v="7"/>
    <x v="4"/>
    <n v="10"/>
    <n v="870.38"/>
    <n v="8703.7999999999993"/>
    <n v="5"/>
    <x v="419"/>
  </r>
  <r>
    <s v="ORD0421"/>
    <x v="205"/>
    <x v="3"/>
    <x v="5"/>
    <x v="1"/>
    <n v="18"/>
    <n v="971.69"/>
    <n v="17490.419999999998"/>
    <n v="0"/>
    <x v="420"/>
  </r>
  <r>
    <s v="ORD0422"/>
    <x v="217"/>
    <x v="0"/>
    <x v="9"/>
    <x v="2"/>
    <n v="12"/>
    <n v="221.98"/>
    <n v="2663.76"/>
    <n v="0"/>
    <x v="421"/>
  </r>
  <r>
    <s v="ORD0423"/>
    <x v="2"/>
    <x v="1"/>
    <x v="2"/>
    <x v="7"/>
    <n v="8"/>
    <n v="494.11"/>
    <n v="3952.88"/>
    <n v="5"/>
    <x v="422"/>
  </r>
  <r>
    <s v="ORD0424"/>
    <x v="186"/>
    <x v="1"/>
    <x v="7"/>
    <x v="5"/>
    <n v="5"/>
    <n v="402.77"/>
    <n v="2013.85"/>
    <n v="0"/>
    <x v="423"/>
  </r>
  <r>
    <s v="ORD0425"/>
    <x v="222"/>
    <x v="0"/>
    <x v="0"/>
    <x v="2"/>
    <n v="13"/>
    <n v="321.47000000000003"/>
    <n v="4179.1099999999997"/>
    <n v="5"/>
    <x v="424"/>
  </r>
  <r>
    <s v="ORD0426"/>
    <x v="26"/>
    <x v="3"/>
    <x v="8"/>
    <x v="1"/>
    <n v="8"/>
    <n v="650.02"/>
    <n v="5200.16"/>
    <n v="0"/>
    <x v="425"/>
  </r>
  <r>
    <s v="ORD0427"/>
    <x v="247"/>
    <x v="3"/>
    <x v="2"/>
    <x v="6"/>
    <n v="17"/>
    <n v="233.04"/>
    <n v="3961.68"/>
    <n v="5"/>
    <x v="426"/>
  </r>
  <r>
    <s v="ORD0428"/>
    <x v="248"/>
    <x v="3"/>
    <x v="2"/>
    <x v="3"/>
    <n v="7"/>
    <n v="546.72"/>
    <n v="3827.04"/>
    <n v="15"/>
    <x v="427"/>
  </r>
  <r>
    <s v="ORD0429"/>
    <x v="180"/>
    <x v="1"/>
    <x v="9"/>
    <x v="3"/>
    <n v="6"/>
    <n v="273.08"/>
    <n v="1638.48"/>
    <n v="5"/>
    <x v="428"/>
  </r>
  <r>
    <s v="ORD0430"/>
    <x v="249"/>
    <x v="3"/>
    <x v="6"/>
    <x v="2"/>
    <n v="20"/>
    <n v="464.09"/>
    <n v="9281.7999999999993"/>
    <n v="15"/>
    <x v="429"/>
  </r>
  <r>
    <s v="ORD0431"/>
    <x v="115"/>
    <x v="3"/>
    <x v="9"/>
    <x v="2"/>
    <n v="10"/>
    <n v="393.64"/>
    <n v="3936.4"/>
    <n v="10"/>
    <x v="430"/>
  </r>
  <r>
    <s v="ORD0432"/>
    <x v="136"/>
    <x v="0"/>
    <x v="1"/>
    <x v="2"/>
    <n v="14"/>
    <n v="783.68"/>
    <n v="10971.52"/>
    <n v="5"/>
    <x v="431"/>
  </r>
  <r>
    <s v="ORD0433"/>
    <x v="114"/>
    <x v="2"/>
    <x v="6"/>
    <x v="9"/>
    <n v="12"/>
    <n v="644.41999999999996"/>
    <n v="7733.04"/>
    <n v="0"/>
    <x v="432"/>
  </r>
  <r>
    <s v="ORD0434"/>
    <x v="250"/>
    <x v="0"/>
    <x v="9"/>
    <x v="8"/>
    <n v="15"/>
    <n v="88.6"/>
    <n v="1329"/>
    <n v="15"/>
    <x v="433"/>
  </r>
  <r>
    <s v="ORD0435"/>
    <x v="251"/>
    <x v="0"/>
    <x v="8"/>
    <x v="9"/>
    <n v="3"/>
    <n v="798.72"/>
    <n v="2396.16"/>
    <n v="15"/>
    <x v="434"/>
  </r>
  <r>
    <s v="ORD0436"/>
    <x v="252"/>
    <x v="0"/>
    <x v="0"/>
    <x v="1"/>
    <n v="20"/>
    <n v="118.18"/>
    <n v="2363.6"/>
    <n v="0"/>
    <x v="435"/>
  </r>
  <r>
    <s v="ORD0437"/>
    <x v="154"/>
    <x v="2"/>
    <x v="6"/>
    <x v="1"/>
    <n v="8"/>
    <n v="101.71"/>
    <n v="813.68"/>
    <n v="5"/>
    <x v="436"/>
  </r>
  <r>
    <s v="ORD0438"/>
    <x v="253"/>
    <x v="2"/>
    <x v="3"/>
    <x v="5"/>
    <n v="16"/>
    <n v="738.07"/>
    <n v="11809.12"/>
    <n v="15"/>
    <x v="437"/>
  </r>
  <r>
    <s v="ORD0439"/>
    <x v="190"/>
    <x v="0"/>
    <x v="3"/>
    <x v="0"/>
    <n v="5"/>
    <n v="145.87"/>
    <n v="729.35"/>
    <n v="15"/>
    <x v="438"/>
  </r>
  <r>
    <s v="ORD0440"/>
    <x v="4"/>
    <x v="3"/>
    <x v="0"/>
    <x v="2"/>
    <n v="14"/>
    <n v="711.69"/>
    <n v="9963.66"/>
    <n v="5"/>
    <x v="439"/>
  </r>
  <r>
    <s v="ORD0441"/>
    <x v="254"/>
    <x v="0"/>
    <x v="8"/>
    <x v="8"/>
    <n v="13"/>
    <n v="798.37"/>
    <n v="10378.81"/>
    <n v="0"/>
    <x v="440"/>
  </r>
  <r>
    <s v="ORD0442"/>
    <x v="255"/>
    <x v="1"/>
    <x v="1"/>
    <x v="7"/>
    <n v="8"/>
    <n v="987.34"/>
    <n v="7898.72"/>
    <n v="15"/>
    <x v="441"/>
  </r>
  <r>
    <s v="ORD0443"/>
    <x v="119"/>
    <x v="0"/>
    <x v="7"/>
    <x v="4"/>
    <n v="18"/>
    <n v="655.29"/>
    <n v="11795.22"/>
    <n v="10"/>
    <x v="442"/>
  </r>
  <r>
    <s v="ORD0444"/>
    <x v="256"/>
    <x v="1"/>
    <x v="8"/>
    <x v="0"/>
    <n v="4"/>
    <n v="650.52"/>
    <n v="2602.08"/>
    <n v="10"/>
    <x v="443"/>
  </r>
  <r>
    <s v="ORD0445"/>
    <x v="232"/>
    <x v="2"/>
    <x v="7"/>
    <x v="3"/>
    <n v="16"/>
    <n v="858.69"/>
    <n v="13739.04"/>
    <n v="10"/>
    <x v="444"/>
  </r>
  <r>
    <s v="ORD0446"/>
    <x v="140"/>
    <x v="3"/>
    <x v="5"/>
    <x v="9"/>
    <n v="8"/>
    <n v="546.11"/>
    <n v="4368.88"/>
    <n v="20"/>
    <x v="445"/>
  </r>
  <r>
    <s v="ORD0447"/>
    <x v="6"/>
    <x v="1"/>
    <x v="3"/>
    <x v="2"/>
    <n v="17"/>
    <n v="774.39"/>
    <n v="13164.63"/>
    <n v="20"/>
    <x v="446"/>
  </r>
  <r>
    <s v="ORD0448"/>
    <x v="63"/>
    <x v="1"/>
    <x v="1"/>
    <x v="8"/>
    <n v="17"/>
    <n v="792.67"/>
    <n v="13475.39"/>
    <n v="5"/>
    <x v="447"/>
  </r>
  <r>
    <s v="ORD0449"/>
    <x v="26"/>
    <x v="1"/>
    <x v="6"/>
    <x v="7"/>
    <n v="19"/>
    <n v="562.46"/>
    <n v="10686.74"/>
    <n v="10"/>
    <x v="448"/>
  </r>
  <r>
    <s v="ORD0450"/>
    <x v="257"/>
    <x v="0"/>
    <x v="3"/>
    <x v="7"/>
    <n v="18"/>
    <n v="887.58"/>
    <n v="15976.44"/>
    <n v="0"/>
    <x v="449"/>
  </r>
  <r>
    <s v="ORD0451"/>
    <x v="161"/>
    <x v="2"/>
    <x v="5"/>
    <x v="7"/>
    <n v="3"/>
    <n v="587.42999999999995"/>
    <n v="1762.29"/>
    <n v="15"/>
    <x v="450"/>
  </r>
  <r>
    <s v="ORD0452"/>
    <x v="258"/>
    <x v="3"/>
    <x v="4"/>
    <x v="3"/>
    <n v="15"/>
    <n v="477.7"/>
    <n v="7165.5"/>
    <n v="20"/>
    <x v="451"/>
  </r>
  <r>
    <s v="ORD0453"/>
    <x v="56"/>
    <x v="0"/>
    <x v="5"/>
    <x v="9"/>
    <n v="4"/>
    <n v="755.28"/>
    <n v="3021.12"/>
    <n v="10"/>
    <x v="452"/>
  </r>
  <r>
    <s v="ORD0454"/>
    <x v="243"/>
    <x v="0"/>
    <x v="7"/>
    <x v="8"/>
    <n v="8"/>
    <n v="333.23"/>
    <n v="2665.84"/>
    <n v="20"/>
    <x v="453"/>
  </r>
  <r>
    <s v="ORD0455"/>
    <x v="61"/>
    <x v="2"/>
    <x v="2"/>
    <x v="2"/>
    <n v="1"/>
    <n v="584.64"/>
    <n v="584.64"/>
    <n v="0"/>
    <x v="454"/>
  </r>
  <r>
    <s v="ORD0456"/>
    <x v="259"/>
    <x v="2"/>
    <x v="7"/>
    <x v="2"/>
    <n v="5"/>
    <n v="739.26"/>
    <n v="3696.3"/>
    <n v="0"/>
    <x v="455"/>
  </r>
  <r>
    <s v="ORD0457"/>
    <x v="1"/>
    <x v="3"/>
    <x v="1"/>
    <x v="6"/>
    <n v="18"/>
    <n v="397.15"/>
    <n v="7148.7"/>
    <n v="5"/>
    <x v="456"/>
  </r>
  <r>
    <s v="ORD0458"/>
    <x v="23"/>
    <x v="2"/>
    <x v="1"/>
    <x v="7"/>
    <n v="11"/>
    <n v="618.04999999999995"/>
    <n v="6798.55"/>
    <n v="20"/>
    <x v="457"/>
  </r>
  <r>
    <s v="ORD0459"/>
    <x v="260"/>
    <x v="3"/>
    <x v="1"/>
    <x v="1"/>
    <n v="20"/>
    <n v="881.54"/>
    <n v="17630.8"/>
    <n v="10"/>
    <x v="458"/>
  </r>
  <r>
    <s v="ORD0460"/>
    <x v="261"/>
    <x v="0"/>
    <x v="7"/>
    <x v="7"/>
    <n v="14"/>
    <n v="236.31"/>
    <n v="3308.34"/>
    <n v="15"/>
    <x v="459"/>
  </r>
  <r>
    <s v="ORD0461"/>
    <x v="158"/>
    <x v="0"/>
    <x v="0"/>
    <x v="8"/>
    <n v="2"/>
    <n v="505.5"/>
    <n v="1011"/>
    <n v="10"/>
    <x v="460"/>
  </r>
  <r>
    <s v="ORD0462"/>
    <x v="57"/>
    <x v="1"/>
    <x v="2"/>
    <x v="2"/>
    <n v="5"/>
    <n v="658.95"/>
    <n v="3294.75"/>
    <n v="10"/>
    <x v="461"/>
  </r>
  <r>
    <s v="ORD0463"/>
    <x v="143"/>
    <x v="2"/>
    <x v="4"/>
    <x v="6"/>
    <n v="14"/>
    <n v="421.27"/>
    <n v="5897.78"/>
    <n v="0"/>
    <x v="462"/>
  </r>
  <r>
    <s v="ORD0464"/>
    <x v="228"/>
    <x v="1"/>
    <x v="2"/>
    <x v="6"/>
    <n v="11"/>
    <n v="277.04000000000002"/>
    <n v="3047.44"/>
    <n v="20"/>
    <x v="463"/>
  </r>
  <r>
    <s v="ORD0465"/>
    <x v="203"/>
    <x v="0"/>
    <x v="4"/>
    <x v="2"/>
    <n v="3"/>
    <n v="770.39"/>
    <n v="2311.17"/>
    <n v="5"/>
    <x v="464"/>
  </r>
  <r>
    <s v="ORD0466"/>
    <x v="148"/>
    <x v="1"/>
    <x v="9"/>
    <x v="4"/>
    <n v="6"/>
    <n v="516.86"/>
    <n v="3101.16"/>
    <n v="5"/>
    <x v="465"/>
  </r>
  <r>
    <s v="ORD0467"/>
    <x v="65"/>
    <x v="2"/>
    <x v="4"/>
    <x v="5"/>
    <n v="19"/>
    <n v="544.03"/>
    <n v="10336.57"/>
    <n v="0"/>
    <x v="466"/>
  </r>
  <r>
    <s v="ORD0468"/>
    <x v="258"/>
    <x v="3"/>
    <x v="8"/>
    <x v="4"/>
    <n v="19"/>
    <n v="845.11"/>
    <n v="16057.09"/>
    <n v="0"/>
    <x v="467"/>
  </r>
  <r>
    <s v="ORD0469"/>
    <x v="98"/>
    <x v="0"/>
    <x v="4"/>
    <x v="6"/>
    <n v="2"/>
    <n v="917.67"/>
    <n v="1835.34"/>
    <n v="15"/>
    <x v="468"/>
  </r>
  <r>
    <s v="ORD0470"/>
    <x v="86"/>
    <x v="2"/>
    <x v="9"/>
    <x v="2"/>
    <n v="5"/>
    <n v="728.68"/>
    <n v="3643.4"/>
    <n v="15"/>
    <x v="469"/>
  </r>
  <r>
    <s v="ORD0471"/>
    <x v="198"/>
    <x v="1"/>
    <x v="5"/>
    <x v="0"/>
    <n v="7"/>
    <n v="973.32"/>
    <n v="6813.24"/>
    <n v="15"/>
    <x v="470"/>
  </r>
  <r>
    <s v="ORD0472"/>
    <x v="150"/>
    <x v="1"/>
    <x v="8"/>
    <x v="0"/>
    <n v="4"/>
    <n v="162.63999999999999"/>
    <n v="650.55999999999995"/>
    <n v="5"/>
    <x v="471"/>
  </r>
  <r>
    <s v="ORD0473"/>
    <x v="7"/>
    <x v="2"/>
    <x v="0"/>
    <x v="4"/>
    <n v="13"/>
    <n v="148.72999999999999"/>
    <n v="1933.49"/>
    <n v="15"/>
    <x v="472"/>
  </r>
  <r>
    <s v="ORD0474"/>
    <x v="131"/>
    <x v="2"/>
    <x v="2"/>
    <x v="7"/>
    <n v="4"/>
    <n v="495.2"/>
    <n v="1980.8"/>
    <n v="15"/>
    <x v="473"/>
  </r>
  <r>
    <s v="ORD0475"/>
    <x v="59"/>
    <x v="2"/>
    <x v="2"/>
    <x v="5"/>
    <n v="5"/>
    <n v="448"/>
    <n v="2240"/>
    <n v="0"/>
    <x v="474"/>
  </r>
  <r>
    <s v="ORD0476"/>
    <x v="262"/>
    <x v="2"/>
    <x v="4"/>
    <x v="9"/>
    <n v="9"/>
    <n v="52.14"/>
    <n v="469.26"/>
    <n v="15"/>
    <x v="475"/>
  </r>
  <r>
    <s v="ORD0477"/>
    <x v="263"/>
    <x v="2"/>
    <x v="7"/>
    <x v="3"/>
    <n v="8"/>
    <n v="596.44000000000005"/>
    <n v="4771.5200000000004"/>
    <n v="20"/>
    <x v="476"/>
  </r>
  <r>
    <s v="ORD0478"/>
    <x v="264"/>
    <x v="3"/>
    <x v="2"/>
    <x v="9"/>
    <n v="12"/>
    <n v="973.92"/>
    <n v="11687.04"/>
    <n v="15"/>
    <x v="477"/>
  </r>
  <r>
    <s v="ORD0479"/>
    <x v="223"/>
    <x v="0"/>
    <x v="2"/>
    <x v="5"/>
    <n v="14"/>
    <n v="486.7"/>
    <n v="6813.8"/>
    <n v="5"/>
    <x v="478"/>
  </r>
  <r>
    <s v="ORD0480"/>
    <x v="164"/>
    <x v="1"/>
    <x v="5"/>
    <x v="8"/>
    <n v="4"/>
    <n v="882.73"/>
    <n v="3530.92"/>
    <n v="20"/>
    <x v="479"/>
  </r>
  <r>
    <s v="ORD0481"/>
    <x v="141"/>
    <x v="0"/>
    <x v="8"/>
    <x v="2"/>
    <n v="5"/>
    <n v="145.97999999999999"/>
    <n v="729.9"/>
    <n v="5"/>
    <x v="480"/>
  </r>
  <r>
    <s v="ORD0482"/>
    <x v="23"/>
    <x v="0"/>
    <x v="2"/>
    <x v="8"/>
    <n v="9"/>
    <n v="742.2"/>
    <n v="6679.8"/>
    <n v="15"/>
    <x v="481"/>
  </r>
  <r>
    <s v="ORD0483"/>
    <x v="187"/>
    <x v="3"/>
    <x v="5"/>
    <x v="4"/>
    <n v="11"/>
    <n v="598.16"/>
    <n v="6579.76"/>
    <n v="10"/>
    <x v="482"/>
  </r>
  <r>
    <s v="ORD0484"/>
    <x v="265"/>
    <x v="2"/>
    <x v="1"/>
    <x v="4"/>
    <n v="13"/>
    <n v="135.34"/>
    <n v="1759.42"/>
    <n v="20"/>
    <x v="483"/>
  </r>
  <r>
    <s v="ORD0485"/>
    <x v="64"/>
    <x v="2"/>
    <x v="6"/>
    <x v="3"/>
    <n v="3"/>
    <n v="539.66"/>
    <n v="1618.98"/>
    <n v="0"/>
    <x v="484"/>
  </r>
  <r>
    <s v="ORD0486"/>
    <x v="266"/>
    <x v="2"/>
    <x v="3"/>
    <x v="2"/>
    <n v="14"/>
    <n v="821.76"/>
    <n v="11504.64"/>
    <n v="10"/>
    <x v="485"/>
  </r>
  <r>
    <s v="ORD0487"/>
    <x v="188"/>
    <x v="2"/>
    <x v="4"/>
    <x v="9"/>
    <n v="1"/>
    <n v="798.6"/>
    <n v="798.6"/>
    <n v="15"/>
    <x v="486"/>
  </r>
  <r>
    <s v="ORD0488"/>
    <x v="256"/>
    <x v="0"/>
    <x v="0"/>
    <x v="5"/>
    <n v="15"/>
    <n v="942.38"/>
    <n v="14135.7"/>
    <n v="15"/>
    <x v="487"/>
  </r>
  <r>
    <s v="ORD0489"/>
    <x v="173"/>
    <x v="2"/>
    <x v="2"/>
    <x v="3"/>
    <n v="4"/>
    <n v="466.92"/>
    <n v="1867.68"/>
    <n v="20"/>
    <x v="488"/>
  </r>
  <r>
    <s v="ORD0490"/>
    <x v="267"/>
    <x v="1"/>
    <x v="3"/>
    <x v="1"/>
    <n v="14"/>
    <n v="139.21"/>
    <n v="1948.94"/>
    <n v="20"/>
    <x v="489"/>
  </r>
  <r>
    <s v="ORD0491"/>
    <x v="144"/>
    <x v="1"/>
    <x v="0"/>
    <x v="2"/>
    <n v="19"/>
    <n v="223.84"/>
    <n v="4252.96"/>
    <n v="15"/>
    <x v="490"/>
  </r>
  <r>
    <s v="ORD0492"/>
    <x v="126"/>
    <x v="0"/>
    <x v="1"/>
    <x v="4"/>
    <n v="6"/>
    <n v="981.38"/>
    <n v="5888.28"/>
    <n v="0"/>
    <x v="491"/>
  </r>
  <r>
    <s v="ORD0493"/>
    <x v="223"/>
    <x v="2"/>
    <x v="3"/>
    <x v="0"/>
    <n v="2"/>
    <n v="629.64"/>
    <n v="1259.28"/>
    <n v="15"/>
    <x v="492"/>
  </r>
  <r>
    <s v="ORD0494"/>
    <x v="80"/>
    <x v="3"/>
    <x v="3"/>
    <x v="9"/>
    <n v="4"/>
    <n v="759.95"/>
    <n v="3039.8"/>
    <n v="15"/>
    <x v="493"/>
  </r>
  <r>
    <s v="ORD0495"/>
    <x v="184"/>
    <x v="0"/>
    <x v="3"/>
    <x v="5"/>
    <n v="17"/>
    <n v="682.78"/>
    <n v="11607.26"/>
    <n v="5"/>
    <x v="494"/>
  </r>
  <r>
    <s v="ORD0496"/>
    <x v="268"/>
    <x v="0"/>
    <x v="9"/>
    <x v="3"/>
    <n v="9"/>
    <n v="826.08"/>
    <n v="7434.72"/>
    <n v="20"/>
    <x v="495"/>
  </r>
  <r>
    <s v="ORD0497"/>
    <x v="40"/>
    <x v="3"/>
    <x v="5"/>
    <x v="7"/>
    <n v="17"/>
    <n v="453.56"/>
    <n v="7710.52"/>
    <n v="15"/>
    <x v="496"/>
  </r>
  <r>
    <s v="ORD0498"/>
    <x v="11"/>
    <x v="3"/>
    <x v="7"/>
    <x v="2"/>
    <n v="12"/>
    <n v="90.02"/>
    <n v="1080.24"/>
    <n v="0"/>
    <x v="497"/>
  </r>
  <r>
    <s v="ORD0499"/>
    <x v="269"/>
    <x v="3"/>
    <x v="3"/>
    <x v="0"/>
    <n v="3"/>
    <n v="645.73"/>
    <n v="1937.19"/>
    <n v="5"/>
    <x v="498"/>
  </r>
  <r>
    <s v="ORD0500"/>
    <x v="199"/>
    <x v="3"/>
    <x v="5"/>
    <x v="2"/>
    <n v="8"/>
    <n v="926.13"/>
    <n v="7409.04"/>
    <n v="10"/>
    <x v="499"/>
  </r>
  <r>
    <s v="ORD0501"/>
    <x v="173"/>
    <x v="0"/>
    <x v="5"/>
    <x v="1"/>
    <n v="5"/>
    <n v="811.47"/>
    <n v="4057.35"/>
    <n v="10"/>
    <x v="500"/>
  </r>
  <r>
    <s v="ORD0502"/>
    <x v="217"/>
    <x v="2"/>
    <x v="2"/>
    <x v="1"/>
    <n v="11"/>
    <n v="606.05999999999995"/>
    <n v="6666.66"/>
    <n v="20"/>
    <x v="501"/>
  </r>
  <r>
    <s v="ORD0503"/>
    <x v="270"/>
    <x v="2"/>
    <x v="1"/>
    <x v="1"/>
    <n v="5"/>
    <n v="556.70000000000005"/>
    <n v="2783.5"/>
    <n v="15"/>
    <x v="502"/>
  </r>
  <r>
    <s v="ORD0504"/>
    <x v="271"/>
    <x v="0"/>
    <x v="3"/>
    <x v="3"/>
    <n v="10"/>
    <n v="713.6"/>
    <n v="7136"/>
    <n v="15"/>
    <x v="503"/>
  </r>
  <r>
    <s v="ORD0505"/>
    <x v="272"/>
    <x v="2"/>
    <x v="7"/>
    <x v="6"/>
    <n v="17"/>
    <n v="196.53"/>
    <n v="3341.01"/>
    <n v="15"/>
    <x v="504"/>
  </r>
  <r>
    <s v="ORD0506"/>
    <x v="26"/>
    <x v="3"/>
    <x v="8"/>
    <x v="4"/>
    <n v="6"/>
    <n v="934.9"/>
    <n v="5609.4"/>
    <n v="20"/>
    <x v="505"/>
  </r>
  <r>
    <s v="ORD0507"/>
    <x v="63"/>
    <x v="2"/>
    <x v="2"/>
    <x v="2"/>
    <n v="5"/>
    <n v="473.16"/>
    <n v="2365.8000000000002"/>
    <n v="0"/>
    <x v="506"/>
  </r>
  <r>
    <s v="ORD0508"/>
    <x v="116"/>
    <x v="3"/>
    <x v="7"/>
    <x v="3"/>
    <n v="15"/>
    <n v="512.36"/>
    <n v="7685.4"/>
    <n v="5"/>
    <x v="507"/>
  </r>
  <r>
    <s v="ORD0509"/>
    <x v="273"/>
    <x v="3"/>
    <x v="7"/>
    <x v="5"/>
    <n v="10"/>
    <n v="879.33"/>
    <n v="8793.2999999999993"/>
    <n v="15"/>
    <x v="508"/>
  </r>
  <r>
    <s v="ORD0510"/>
    <x v="274"/>
    <x v="1"/>
    <x v="3"/>
    <x v="7"/>
    <n v="14"/>
    <n v="546.91"/>
    <n v="7656.74"/>
    <n v="15"/>
    <x v="509"/>
  </r>
  <r>
    <s v="ORD0511"/>
    <x v="162"/>
    <x v="1"/>
    <x v="1"/>
    <x v="0"/>
    <n v="2"/>
    <n v="544.48"/>
    <n v="1088.96"/>
    <n v="15"/>
    <x v="510"/>
  </r>
  <r>
    <s v="ORD0512"/>
    <x v="256"/>
    <x v="0"/>
    <x v="3"/>
    <x v="3"/>
    <n v="20"/>
    <n v="968.16"/>
    <n v="19363.2"/>
    <n v="15"/>
    <x v="511"/>
  </r>
  <r>
    <s v="ORD0513"/>
    <x v="117"/>
    <x v="3"/>
    <x v="4"/>
    <x v="7"/>
    <n v="11"/>
    <n v="651.83000000000004"/>
    <n v="7170.13"/>
    <n v="5"/>
    <x v="512"/>
  </r>
  <r>
    <s v="ORD0514"/>
    <x v="275"/>
    <x v="2"/>
    <x v="3"/>
    <x v="3"/>
    <n v="10"/>
    <n v="743.65"/>
    <n v="7436.5"/>
    <n v="5"/>
    <x v="513"/>
  </r>
  <r>
    <s v="ORD0515"/>
    <x v="146"/>
    <x v="1"/>
    <x v="4"/>
    <x v="4"/>
    <n v="6"/>
    <n v="178.69"/>
    <n v="1072.1400000000001"/>
    <n v="5"/>
    <x v="514"/>
  </r>
  <r>
    <s v="ORD0516"/>
    <x v="233"/>
    <x v="1"/>
    <x v="7"/>
    <x v="9"/>
    <n v="9"/>
    <n v="766.26"/>
    <n v="6896.34"/>
    <n v="5"/>
    <x v="515"/>
  </r>
  <r>
    <s v="ORD0517"/>
    <x v="216"/>
    <x v="2"/>
    <x v="1"/>
    <x v="7"/>
    <n v="1"/>
    <n v="848.18"/>
    <n v="848.18"/>
    <n v="5"/>
    <x v="516"/>
  </r>
  <r>
    <s v="ORD0518"/>
    <x v="141"/>
    <x v="1"/>
    <x v="8"/>
    <x v="4"/>
    <n v="14"/>
    <n v="461.4"/>
    <n v="6459.6"/>
    <n v="0"/>
    <x v="517"/>
  </r>
  <r>
    <s v="ORD0519"/>
    <x v="276"/>
    <x v="1"/>
    <x v="4"/>
    <x v="1"/>
    <n v="18"/>
    <n v="291.66000000000003"/>
    <n v="5249.88"/>
    <n v="15"/>
    <x v="518"/>
  </r>
  <r>
    <s v="ORD0520"/>
    <x v="61"/>
    <x v="3"/>
    <x v="8"/>
    <x v="2"/>
    <n v="9"/>
    <n v="364.51"/>
    <n v="3280.59"/>
    <n v="0"/>
    <x v="519"/>
  </r>
  <r>
    <s v="ORD0521"/>
    <x v="277"/>
    <x v="1"/>
    <x v="8"/>
    <x v="3"/>
    <n v="3"/>
    <n v="389.68"/>
    <n v="1169.04"/>
    <n v="10"/>
    <x v="520"/>
  </r>
  <r>
    <s v="ORD0522"/>
    <x v="70"/>
    <x v="2"/>
    <x v="3"/>
    <x v="1"/>
    <n v="18"/>
    <n v="254.67"/>
    <n v="4584.0600000000004"/>
    <n v="5"/>
    <x v="521"/>
  </r>
  <r>
    <s v="ORD0523"/>
    <x v="228"/>
    <x v="1"/>
    <x v="4"/>
    <x v="0"/>
    <n v="3"/>
    <n v="330.85"/>
    <n v="992.55"/>
    <n v="5"/>
    <x v="522"/>
  </r>
  <r>
    <s v="ORD0524"/>
    <x v="278"/>
    <x v="2"/>
    <x v="4"/>
    <x v="8"/>
    <n v="7"/>
    <n v="420.76"/>
    <n v="2945.32"/>
    <n v="0"/>
    <x v="523"/>
  </r>
  <r>
    <s v="ORD0525"/>
    <x v="100"/>
    <x v="1"/>
    <x v="5"/>
    <x v="1"/>
    <n v="7"/>
    <n v="892.14"/>
    <n v="6244.98"/>
    <n v="5"/>
    <x v="524"/>
  </r>
  <r>
    <s v="ORD0526"/>
    <x v="272"/>
    <x v="0"/>
    <x v="4"/>
    <x v="9"/>
    <n v="11"/>
    <n v="402.6"/>
    <n v="4428.6000000000004"/>
    <n v="15"/>
    <x v="525"/>
  </r>
  <r>
    <s v="ORD0527"/>
    <x v="279"/>
    <x v="0"/>
    <x v="6"/>
    <x v="1"/>
    <n v="7"/>
    <n v="676.31"/>
    <n v="4734.17"/>
    <n v="15"/>
    <x v="526"/>
  </r>
  <r>
    <s v="ORD0528"/>
    <x v="247"/>
    <x v="0"/>
    <x v="0"/>
    <x v="4"/>
    <n v="13"/>
    <n v="483.38"/>
    <n v="6283.94"/>
    <n v="5"/>
    <x v="527"/>
  </r>
  <r>
    <s v="ORD0529"/>
    <x v="41"/>
    <x v="2"/>
    <x v="5"/>
    <x v="3"/>
    <n v="10"/>
    <n v="90.92"/>
    <n v="909.2"/>
    <n v="15"/>
    <x v="528"/>
  </r>
  <r>
    <s v="ORD0530"/>
    <x v="104"/>
    <x v="0"/>
    <x v="4"/>
    <x v="4"/>
    <n v="16"/>
    <n v="74.2"/>
    <n v="1187.2"/>
    <n v="20"/>
    <x v="529"/>
  </r>
  <r>
    <s v="ORD0531"/>
    <x v="231"/>
    <x v="2"/>
    <x v="7"/>
    <x v="2"/>
    <n v="18"/>
    <n v="212.48"/>
    <n v="3824.64"/>
    <n v="20"/>
    <x v="530"/>
  </r>
  <r>
    <s v="ORD0532"/>
    <x v="280"/>
    <x v="2"/>
    <x v="9"/>
    <x v="5"/>
    <n v="11"/>
    <n v="880.3"/>
    <n v="9683.2999999999993"/>
    <n v="5"/>
    <x v="531"/>
  </r>
  <r>
    <s v="ORD0533"/>
    <x v="252"/>
    <x v="1"/>
    <x v="2"/>
    <x v="6"/>
    <n v="20"/>
    <n v="480.18"/>
    <n v="9603.6"/>
    <n v="15"/>
    <x v="532"/>
  </r>
  <r>
    <s v="ORD0534"/>
    <x v="106"/>
    <x v="0"/>
    <x v="0"/>
    <x v="5"/>
    <n v="18"/>
    <n v="755.99"/>
    <n v="13607.82"/>
    <n v="20"/>
    <x v="533"/>
  </r>
  <r>
    <s v="ORD0535"/>
    <x v="281"/>
    <x v="3"/>
    <x v="8"/>
    <x v="8"/>
    <n v="6"/>
    <n v="823.05"/>
    <n v="4938.3"/>
    <n v="20"/>
    <x v="534"/>
  </r>
  <r>
    <s v="ORD0536"/>
    <x v="102"/>
    <x v="2"/>
    <x v="7"/>
    <x v="6"/>
    <n v="1"/>
    <n v="61.92"/>
    <n v="61.92"/>
    <n v="15"/>
    <x v="535"/>
  </r>
  <r>
    <s v="ORD0537"/>
    <x v="97"/>
    <x v="2"/>
    <x v="9"/>
    <x v="5"/>
    <n v="18"/>
    <n v="412.56"/>
    <n v="7426.08"/>
    <n v="20"/>
    <x v="536"/>
  </r>
  <r>
    <s v="ORD0538"/>
    <x v="282"/>
    <x v="1"/>
    <x v="4"/>
    <x v="0"/>
    <n v="3"/>
    <n v="135.83000000000001"/>
    <n v="407.49"/>
    <n v="15"/>
    <x v="537"/>
  </r>
  <r>
    <s v="ORD0539"/>
    <x v="22"/>
    <x v="3"/>
    <x v="0"/>
    <x v="2"/>
    <n v="7"/>
    <n v="933.39"/>
    <n v="6533.73"/>
    <n v="20"/>
    <x v="538"/>
  </r>
  <r>
    <s v="ORD0540"/>
    <x v="283"/>
    <x v="3"/>
    <x v="3"/>
    <x v="6"/>
    <n v="5"/>
    <n v="806.65"/>
    <n v="4033.25"/>
    <n v="20"/>
    <x v="539"/>
  </r>
  <r>
    <s v="ORD0541"/>
    <x v="155"/>
    <x v="1"/>
    <x v="2"/>
    <x v="9"/>
    <n v="12"/>
    <n v="598.59"/>
    <n v="7183.08"/>
    <n v="15"/>
    <x v="540"/>
  </r>
  <r>
    <s v="ORD0542"/>
    <x v="283"/>
    <x v="2"/>
    <x v="2"/>
    <x v="1"/>
    <n v="12"/>
    <n v="927.94"/>
    <n v="11135.28"/>
    <n v="10"/>
    <x v="541"/>
  </r>
  <r>
    <s v="ORD0543"/>
    <x v="127"/>
    <x v="1"/>
    <x v="9"/>
    <x v="9"/>
    <n v="20"/>
    <n v="536.46"/>
    <n v="10729.2"/>
    <n v="15"/>
    <x v="542"/>
  </r>
  <r>
    <s v="ORD0544"/>
    <x v="29"/>
    <x v="1"/>
    <x v="4"/>
    <x v="5"/>
    <n v="18"/>
    <n v="275.64999999999998"/>
    <n v="4961.7"/>
    <n v="5"/>
    <x v="543"/>
  </r>
  <r>
    <s v="ORD0545"/>
    <x v="284"/>
    <x v="0"/>
    <x v="4"/>
    <x v="2"/>
    <n v="7"/>
    <n v="754.38"/>
    <n v="5280.66"/>
    <n v="10"/>
    <x v="544"/>
  </r>
  <r>
    <s v="ORD0546"/>
    <x v="4"/>
    <x v="0"/>
    <x v="5"/>
    <x v="5"/>
    <n v="2"/>
    <n v="152.99"/>
    <n v="305.98"/>
    <n v="5"/>
    <x v="545"/>
  </r>
  <r>
    <s v="ORD0547"/>
    <x v="31"/>
    <x v="3"/>
    <x v="0"/>
    <x v="2"/>
    <n v="4"/>
    <n v="871.35"/>
    <n v="3485.4"/>
    <n v="10"/>
    <x v="546"/>
  </r>
  <r>
    <s v="ORD0548"/>
    <x v="95"/>
    <x v="3"/>
    <x v="1"/>
    <x v="8"/>
    <n v="9"/>
    <n v="104.43"/>
    <n v="939.87"/>
    <n v="0"/>
    <x v="547"/>
  </r>
  <r>
    <s v="ORD0549"/>
    <x v="238"/>
    <x v="3"/>
    <x v="4"/>
    <x v="4"/>
    <n v="1"/>
    <n v="785.89"/>
    <n v="785.89"/>
    <n v="10"/>
    <x v="548"/>
  </r>
  <r>
    <s v="ORD0550"/>
    <x v="285"/>
    <x v="2"/>
    <x v="9"/>
    <x v="9"/>
    <n v="2"/>
    <n v="612.98"/>
    <n v="1225.96"/>
    <n v="15"/>
    <x v="549"/>
  </r>
  <r>
    <s v="ORD0551"/>
    <x v="284"/>
    <x v="1"/>
    <x v="7"/>
    <x v="8"/>
    <n v="20"/>
    <n v="814.71"/>
    <n v="16294.2"/>
    <n v="5"/>
    <x v="550"/>
  </r>
  <r>
    <s v="ORD0552"/>
    <x v="274"/>
    <x v="0"/>
    <x v="6"/>
    <x v="7"/>
    <n v="7"/>
    <n v="524.1"/>
    <n v="3668.7"/>
    <n v="0"/>
    <x v="551"/>
  </r>
  <r>
    <s v="ORD0553"/>
    <x v="236"/>
    <x v="0"/>
    <x v="0"/>
    <x v="1"/>
    <n v="7"/>
    <n v="832.97"/>
    <n v="5830.79"/>
    <n v="10"/>
    <x v="552"/>
  </r>
  <r>
    <s v="ORD0554"/>
    <x v="286"/>
    <x v="3"/>
    <x v="3"/>
    <x v="3"/>
    <n v="10"/>
    <n v="652.73"/>
    <n v="6527.3"/>
    <n v="0"/>
    <x v="553"/>
  </r>
  <r>
    <s v="ORD0555"/>
    <x v="226"/>
    <x v="1"/>
    <x v="7"/>
    <x v="5"/>
    <n v="13"/>
    <n v="706.27"/>
    <n v="9181.51"/>
    <n v="10"/>
    <x v="554"/>
  </r>
  <r>
    <s v="ORD0556"/>
    <x v="213"/>
    <x v="0"/>
    <x v="6"/>
    <x v="2"/>
    <n v="20"/>
    <n v="107.1"/>
    <n v="2142"/>
    <n v="20"/>
    <x v="555"/>
  </r>
  <r>
    <s v="ORD0557"/>
    <x v="10"/>
    <x v="0"/>
    <x v="7"/>
    <x v="6"/>
    <n v="18"/>
    <n v="670.4"/>
    <n v="12067.2"/>
    <n v="20"/>
    <x v="556"/>
  </r>
  <r>
    <s v="ORD0558"/>
    <x v="287"/>
    <x v="3"/>
    <x v="0"/>
    <x v="3"/>
    <n v="18"/>
    <n v="929.3"/>
    <n v="16727.400000000001"/>
    <n v="20"/>
    <x v="557"/>
  </r>
  <r>
    <s v="ORD0559"/>
    <x v="139"/>
    <x v="0"/>
    <x v="6"/>
    <x v="7"/>
    <n v="7"/>
    <n v="190.39"/>
    <n v="1332.73"/>
    <n v="5"/>
    <x v="558"/>
  </r>
  <r>
    <s v="ORD0560"/>
    <x v="262"/>
    <x v="3"/>
    <x v="6"/>
    <x v="2"/>
    <n v="3"/>
    <n v="396.48"/>
    <n v="1189.44"/>
    <n v="15"/>
    <x v="559"/>
  </r>
  <r>
    <s v="ORD0561"/>
    <x v="288"/>
    <x v="2"/>
    <x v="6"/>
    <x v="7"/>
    <n v="16"/>
    <n v="757.89"/>
    <n v="12126.24"/>
    <n v="0"/>
    <x v="560"/>
  </r>
  <r>
    <s v="ORD0562"/>
    <x v="100"/>
    <x v="1"/>
    <x v="6"/>
    <x v="6"/>
    <n v="3"/>
    <n v="962.07"/>
    <n v="2886.21"/>
    <n v="15"/>
    <x v="561"/>
  </r>
  <r>
    <s v="ORD0563"/>
    <x v="176"/>
    <x v="3"/>
    <x v="6"/>
    <x v="5"/>
    <n v="4"/>
    <n v="981.01"/>
    <n v="3924.04"/>
    <n v="20"/>
    <x v="562"/>
  </r>
  <r>
    <s v="ORD0564"/>
    <x v="289"/>
    <x v="1"/>
    <x v="1"/>
    <x v="8"/>
    <n v="11"/>
    <n v="944.44"/>
    <n v="10388.84"/>
    <n v="15"/>
    <x v="563"/>
  </r>
  <r>
    <s v="ORD0565"/>
    <x v="290"/>
    <x v="0"/>
    <x v="6"/>
    <x v="2"/>
    <n v="2"/>
    <n v="513.32000000000005"/>
    <n v="1026.6400000000001"/>
    <n v="0"/>
    <x v="564"/>
  </r>
  <r>
    <s v="ORD0566"/>
    <x v="114"/>
    <x v="3"/>
    <x v="7"/>
    <x v="5"/>
    <n v="10"/>
    <n v="808.9"/>
    <n v="8089"/>
    <n v="10"/>
    <x v="565"/>
  </r>
  <r>
    <s v="ORD0567"/>
    <x v="291"/>
    <x v="0"/>
    <x v="3"/>
    <x v="1"/>
    <n v="2"/>
    <n v="179.78"/>
    <n v="359.56"/>
    <n v="20"/>
    <x v="566"/>
  </r>
  <r>
    <s v="ORD0568"/>
    <x v="170"/>
    <x v="0"/>
    <x v="7"/>
    <x v="3"/>
    <n v="15"/>
    <n v="291.33999999999997"/>
    <n v="4370.1000000000004"/>
    <n v="0"/>
    <x v="567"/>
  </r>
  <r>
    <s v="ORD0569"/>
    <x v="136"/>
    <x v="2"/>
    <x v="7"/>
    <x v="2"/>
    <n v="8"/>
    <n v="304.54000000000002"/>
    <n v="2436.3200000000002"/>
    <n v="0"/>
    <x v="568"/>
  </r>
  <r>
    <s v="ORD0570"/>
    <x v="43"/>
    <x v="2"/>
    <x v="0"/>
    <x v="9"/>
    <n v="7"/>
    <n v="464.59"/>
    <n v="3252.13"/>
    <n v="20"/>
    <x v="569"/>
  </r>
  <r>
    <s v="ORD0571"/>
    <x v="201"/>
    <x v="0"/>
    <x v="9"/>
    <x v="7"/>
    <n v="11"/>
    <n v="512.22"/>
    <n v="5634.42"/>
    <n v="20"/>
    <x v="570"/>
  </r>
  <r>
    <s v="ORD0572"/>
    <x v="263"/>
    <x v="0"/>
    <x v="0"/>
    <x v="4"/>
    <n v="11"/>
    <n v="207.87"/>
    <n v="2286.5700000000002"/>
    <n v="10"/>
    <x v="571"/>
  </r>
  <r>
    <s v="ORD0573"/>
    <x v="82"/>
    <x v="3"/>
    <x v="5"/>
    <x v="8"/>
    <n v="3"/>
    <n v="850.1"/>
    <n v="2550.3000000000002"/>
    <n v="20"/>
    <x v="572"/>
  </r>
  <r>
    <s v="ORD0574"/>
    <x v="172"/>
    <x v="1"/>
    <x v="1"/>
    <x v="0"/>
    <n v="17"/>
    <n v="103.37"/>
    <n v="1757.29"/>
    <n v="20"/>
    <x v="573"/>
  </r>
  <r>
    <s v="ORD0575"/>
    <x v="8"/>
    <x v="1"/>
    <x v="4"/>
    <x v="4"/>
    <n v="4"/>
    <n v="71.069999999999993"/>
    <n v="284.27999999999997"/>
    <n v="10"/>
    <x v="574"/>
  </r>
  <r>
    <s v="ORD0576"/>
    <x v="100"/>
    <x v="3"/>
    <x v="9"/>
    <x v="1"/>
    <n v="17"/>
    <n v="558.45000000000005"/>
    <n v="9493.65"/>
    <n v="10"/>
    <x v="575"/>
  </r>
  <r>
    <s v="ORD0577"/>
    <x v="166"/>
    <x v="0"/>
    <x v="4"/>
    <x v="4"/>
    <n v="9"/>
    <n v="74.67"/>
    <n v="672.03"/>
    <n v="15"/>
    <x v="576"/>
  </r>
  <r>
    <s v="ORD0578"/>
    <x v="42"/>
    <x v="3"/>
    <x v="0"/>
    <x v="6"/>
    <n v="18"/>
    <n v="348.67"/>
    <n v="6276.06"/>
    <n v="5"/>
    <x v="577"/>
  </r>
  <r>
    <s v="ORD0579"/>
    <x v="239"/>
    <x v="0"/>
    <x v="2"/>
    <x v="0"/>
    <n v="19"/>
    <n v="727.78"/>
    <n v="13827.82"/>
    <n v="20"/>
    <x v="578"/>
  </r>
  <r>
    <s v="ORD0580"/>
    <x v="124"/>
    <x v="3"/>
    <x v="6"/>
    <x v="6"/>
    <n v="14"/>
    <n v="964.2"/>
    <n v="13498.8"/>
    <n v="20"/>
    <x v="579"/>
  </r>
  <r>
    <s v="ORD0581"/>
    <x v="17"/>
    <x v="1"/>
    <x v="0"/>
    <x v="3"/>
    <n v="14"/>
    <n v="63.32"/>
    <n v="886.48"/>
    <n v="0"/>
    <x v="580"/>
  </r>
  <r>
    <s v="ORD0582"/>
    <x v="292"/>
    <x v="1"/>
    <x v="3"/>
    <x v="2"/>
    <n v="4"/>
    <n v="207.88"/>
    <n v="831.52"/>
    <n v="15"/>
    <x v="581"/>
  </r>
  <r>
    <s v="ORD0583"/>
    <x v="36"/>
    <x v="1"/>
    <x v="5"/>
    <x v="5"/>
    <n v="2"/>
    <n v="398.35"/>
    <n v="796.7"/>
    <n v="0"/>
    <x v="582"/>
  </r>
  <r>
    <s v="ORD0584"/>
    <x v="293"/>
    <x v="2"/>
    <x v="0"/>
    <x v="1"/>
    <n v="16"/>
    <n v="132.02000000000001"/>
    <n v="2112.3200000000002"/>
    <n v="10"/>
    <x v="583"/>
  </r>
  <r>
    <s v="ORD0585"/>
    <x v="32"/>
    <x v="3"/>
    <x v="3"/>
    <x v="4"/>
    <n v="20"/>
    <n v="422"/>
    <n v="8440"/>
    <n v="5"/>
    <x v="584"/>
  </r>
  <r>
    <s v="ORD0586"/>
    <x v="215"/>
    <x v="1"/>
    <x v="4"/>
    <x v="6"/>
    <n v="2"/>
    <n v="849.38"/>
    <n v="1698.76"/>
    <n v="0"/>
    <x v="585"/>
  </r>
  <r>
    <s v="ORD0587"/>
    <x v="92"/>
    <x v="3"/>
    <x v="7"/>
    <x v="1"/>
    <n v="7"/>
    <n v="304.04000000000002"/>
    <n v="2128.2800000000002"/>
    <n v="0"/>
    <x v="586"/>
  </r>
  <r>
    <s v="ORD0588"/>
    <x v="207"/>
    <x v="2"/>
    <x v="0"/>
    <x v="9"/>
    <n v="18"/>
    <n v="856.64"/>
    <n v="15419.52"/>
    <n v="5"/>
    <x v="587"/>
  </r>
  <r>
    <s v="ORD0589"/>
    <x v="33"/>
    <x v="0"/>
    <x v="7"/>
    <x v="4"/>
    <n v="18"/>
    <n v="773.4"/>
    <n v="13921.2"/>
    <n v="15"/>
    <x v="588"/>
  </r>
  <r>
    <s v="ORD0590"/>
    <x v="91"/>
    <x v="0"/>
    <x v="4"/>
    <x v="7"/>
    <n v="14"/>
    <n v="420.31"/>
    <n v="5884.34"/>
    <n v="10"/>
    <x v="589"/>
  </r>
  <r>
    <s v="ORD0591"/>
    <x v="294"/>
    <x v="2"/>
    <x v="2"/>
    <x v="5"/>
    <n v="12"/>
    <n v="818.13"/>
    <n v="9817.56"/>
    <n v="5"/>
    <x v="590"/>
  </r>
  <r>
    <s v="ORD0592"/>
    <x v="58"/>
    <x v="1"/>
    <x v="7"/>
    <x v="0"/>
    <n v="11"/>
    <n v="678.68"/>
    <n v="7465.48"/>
    <n v="15"/>
    <x v="591"/>
  </r>
  <r>
    <s v="ORD0593"/>
    <x v="80"/>
    <x v="0"/>
    <x v="9"/>
    <x v="5"/>
    <n v="9"/>
    <n v="156.49"/>
    <n v="1408.41"/>
    <n v="10"/>
    <x v="592"/>
  </r>
  <r>
    <s v="ORD0594"/>
    <x v="295"/>
    <x v="2"/>
    <x v="3"/>
    <x v="6"/>
    <n v="14"/>
    <n v="807.35"/>
    <n v="11302.9"/>
    <n v="20"/>
    <x v="593"/>
  </r>
  <r>
    <s v="ORD0595"/>
    <x v="129"/>
    <x v="2"/>
    <x v="9"/>
    <x v="3"/>
    <n v="1"/>
    <n v="915.25"/>
    <n v="915.25"/>
    <n v="15"/>
    <x v="594"/>
  </r>
  <r>
    <s v="ORD0596"/>
    <x v="25"/>
    <x v="1"/>
    <x v="6"/>
    <x v="2"/>
    <n v="20"/>
    <n v="570.46"/>
    <n v="11409.2"/>
    <n v="20"/>
    <x v="595"/>
  </r>
  <r>
    <s v="ORD0597"/>
    <x v="136"/>
    <x v="2"/>
    <x v="5"/>
    <x v="6"/>
    <n v="9"/>
    <n v="53.9"/>
    <n v="485.1"/>
    <n v="0"/>
    <x v="596"/>
  </r>
  <r>
    <s v="ORD0598"/>
    <x v="92"/>
    <x v="1"/>
    <x v="9"/>
    <x v="4"/>
    <n v="17"/>
    <n v="821.74"/>
    <n v="13969.58"/>
    <n v="15"/>
    <x v="597"/>
  </r>
  <r>
    <s v="ORD0599"/>
    <x v="296"/>
    <x v="1"/>
    <x v="1"/>
    <x v="8"/>
    <n v="2"/>
    <n v="599.72"/>
    <n v="1199.44"/>
    <n v="5"/>
    <x v="598"/>
  </r>
  <r>
    <s v="ORD0600"/>
    <x v="31"/>
    <x v="3"/>
    <x v="6"/>
    <x v="2"/>
    <n v="16"/>
    <n v="279.2"/>
    <n v="4467.2"/>
    <n v="20"/>
    <x v="599"/>
  </r>
  <r>
    <s v="ORD0601"/>
    <x v="142"/>
    <x v="0"/>
    <x v="5"/>
    <x v="4"/>
    <n v="8"/>
    <n v="905.44"/>
    <n v="7243.52"/>
    <n v="10"/>
    <x v="600"/>
  </r>
  <r>
    <s v="ORD0602"/>
    <x v="23"/>
    <x v="3"/>
    <x v="7"/>
    <x v="6"/>
    <n v="20"/>
    <n v="203.83"/>
    <n v="4076.6"/>
    <n v="5"/>
    <x v="601"/>
  </r>
  <r>
    <s v="ORD0603"/>
    <x v="119"/>
    <x v="2"/>
    <x v="6"/>
    <x v="6"/>
    <n v="9"/>
    <n v="923.34"/>
    <n v="8310.06"/>
    <n v="15"/>
    <x v="602"/>
  </r>
  <r>
    <s v="ORD0604"/>
    <x v="173"/>
    <x v="2"/>
    <x v="2"/>
    <x v="0"/>
    <n v="17"/>
    <n v="575.46"/>
    <n v="9782.82"/>
    <n v="5"/>
    <x v="603"/>
  </r>
  <r>
    <s v="ORD0605"/>
    <x v="34"/>
    <x v="2"/>
    <x v="7"/>
    <x v="7"/>
    <n v="4"/>
    <n v="730.68"/>
    <n v="2922.72"/>
    <n v="10"/>
    <x v="604"/>
  </r>
  <r>
    <s v="ORD0606"/>
    <x v="184"/>
    <x v="1"/>
    <x v="2"/>
    <x v="2"/>
    <n v="19"/>
    <n v="544.75"/>
    <n v="10350.25"/>
    <n v="5"/>
    <x v="605"/>
  </r>
  <r>
    <s v="ORD0607"/>
    <x v="239"/>
    <x v="1"/>
    <x v="1"/>
    <x v="9"/>
    <n v="6"/>
    <n v="394.48"/>
    <n v="2366.88"/>
    <n v="15"/>
    <x v="606"/>
  </r>
  <r>
    <s v="ORD0608"/>
    <x v="87"/>
    <x v="1"/>
    <x v="5"/>
    <x v="2"/>
    <n v="20"/>
    <n v="60.69"/>
    <n v="1213.8"/>
    <n v="20"/>
    <x v="607"/>
  </r>
  <r>
    <s v="ORD0609"/>
    <x v="297"/>
    <x v="1"/>
    <x v="9"/>
    <x v="1"/>
    <n v="17"/>
    <n v="310.08999999999997"/>
    <n v="5271.53"/>
    <n v="20"/>
    <x v="608"/>
  </r>
  <r>
    <s v="ORD0610"/>
    <x v="248"/>
    <x v="3"/>
    <x v="2"/>
    <x v="9"/>
    <n v="2"/>
    <n v="224.69"/>
    <n v="449.38"/>
    <n v="5"/>
    <x v="609"/>
  </r>
  <r>
    <s v="ORD0611"/>
    <x v="298"/>
    <x v="2"/>
    <x v="6"/>
    <x v="0"/>
    <n v="1"/>
    <n v="211.3"/>
    <n v="211.3"/>
    <n v="0"/>
    <x v="610"/>
  </r>
  <r>
    <s v="ORD0612"/>
    <x v="230"/>
    <x v="1"/>
    <x v="1"/>
    <x v="6"/>
    <n v="19"/>
    <n v="949.05"/>
    <n v="18031.95"/>
    <n v="20"/>
    <x v="611"/>
  </r>
  <r>
    <s v="ORD0613"/>
    <x v="276"/>
    <x v="3"/>
    <x v="8"/>
    <x v="7"/>
    <n v="12"/>
    <n v="500.34"/>
    <n v="6004.08"/>
    <n v="15"/>
    <x v="612"/>
  </r>
  <r>
    <s v="ORD0614"/>
    <x v="66"/>
    <x v="2"/>
    <x v="9"/>
    <x v="1"/>
    <n v="3"/>
    <n v="69.02"/>
    <n v="207.06"/>
    <n v="20"/>
    <x v="613"/>
  </r>
  <r>
    <s v="ORD0615"/>
    <x v="229"/>
    <x v="0"/>
    <x v="6"/>
    <x v="1"/>
    <n v="19"/>
    <n v="307.04000000000002"/>
    <n v="5833.76"/>
    <n v="0"/>
    <x v="614"/>
  </r>
  <r>
    <s v="ORD0616"/>
    <x v="199"/>
    <x v="0"/>
    <x v="0"/>
    <x v="4"/>
    <n v="17"/>
    <n v="99.71"/>
    <n v="1695.07"/>
    <n v="15"/>
    <x v="615"/>
  </r>
  <r>
    <s v="ORD0617"/>
    <x v="71"/>
    <x v="1"/>
    <x v="7"/>
    <x v="0"/>
    <n v="15"/>
    <n v="761.66"/>
    <n v="11424.9"/>
    <n v="20"/>
    <x v="616"/>
  </r>
  <r>
    <s v="ORD0618"/>
    <x v="235"/>
    <x v="0"/>
    <x v="6"/>
    <x v="7"/>
    <n v="4"/>
    <n v="101.12"/>
    <n v="404.48"/>
    <n v="15"/>
    <x v="617"/>
  </r>
  <r>
    <s v="ORD0619"/>
    <x v="229"/>
    <x v="3"/>
    <x v="8"/>
    <x v="6"/>
    <n v="18"/>
    <n v="331.42"/>
    <n v="5965.56"/>
    <n v="5"/>
    <x v="618"/>
  </r>
  <r>
    <s v="ORD0620"/>
    <x v="263"/>
    <x v="2"/>
    <x v="7"/>
    <x v="1"/>
    <n v="12"/>
    <n v="721.48"/>
    <n v="8657.76"/>
    <n v="0"/>
    <x v="619"/>
  </r>
  <r>
    <s v="ORD0621"/>
    <x v="11"/>
    <x v="1"/>
    <x v="8"/>
    <x v="8"/>
    <n v="7"/>
    <n v="526.05999999999995"/>
    <n v="3682.42"/>
    <n v="5"/>
    <x v="620"/>
  </r>
  <r>
    <s v="ORD0622"/>
    <x v="299"/>
    <x v="2"/>
    <x v="4"/>
    <x v="7"/>
    <n v="4"/>
    <n v="435.2"/>
    <n v="1740.8"/>
    <n v="5"/>
    <x v="621"/>
  </r>
  <r>
    <s v="ORD0623"/>
    <x v="89"/>
    <x v="0"/>
    <x v="5"/>
    <x v="6"/>
    <n v="12"/>
    <n v="266.93"/>
    <n v="3203.16"/>
    <n v="15"/>
    <x v="622"/>
  </r>
  <r>
    <s v="ORD0624"/>
    <x v="228"/>
    <x v="2"/>
    <x v="6"/>
    <x v="3"/>
    <n v="15"/>
    <n v="554.45000000000005"/>
    <n v="8316.75"/>
    <n v="10"/>
    <x v="623"/>
  </r>
  <r>
    <s v="ORD0625"/>
    <x v="166"/>
    <x v="3"/>
    <x v="7"/>
    <x v="8"/>
    <n v="20"/>
    <n v="775.92"/>
    <n v="15518.4"/>
    <n v="20"/>
    <x v="624"/>
  </r>
  <r>
    <s v="ORD0626"/>
    <x v="28"/>
    <x v="3"/>
    <x v="7"/>
    <x v="1"/>
    <n v="10"/>
    <n v="589.15"/>
    <n v="5891.5"/>
    <n v="20"/>
    <x v="625"/>
  </r>
  <r>
    <s v="ORD0627"/>
    <x v="199"/>
    <x v="2"/>
    <x v="9"/>
    <x v="2"/>
    <n v="14"/>
    <n v="766.14"/>
    <n v="10725.96"/>
    <n v="20"/>
    <x v="626"/>
  </r>
  <r>
    <s v="ORD0628"/>
    <x v="181"/>
    <x v="3"/>
    <x v="1"/>
    <x v="8"/>
    <n v="1"/>
    <n v="58.08"/>
    <n v="58.08"/>
    <n v="0"/>
    <x v="627"/>
  </r>
  <r>
    <s v="ORD0629"/>
    <x v="114"/>
    <x v="0"/>
    <x v="6"/>
    <x v="4"/>
    <n v="17"/>
    <n v="311.95999999999998"/>
    <n v="5303.32"/>
    <n v="0"/>
    <x v="628"/>
  </r>
  <r>
    <s v="ORD0630"/>
    <x v="300"/>
    <x v="3"/>
    <x v="0"/>
    <x v="0"/>
    <n v="1"/>
    <n v="691.92"/>
    <n v="691.92"/>
    <n v="0"/>
    <x v="629"/>
  </r>
  <r>
    <s v="ORD0631"/>
    <x v="99"/>
    <x v="1"/>
    <x v="2"/>
    <x v="3"/>
    <n v="20"/>
    <n v="906.76"/>
    <n v="18135.2"/>
    <n v="0"/>
    <x v="630"/>
  </r>
  <r>
    <s v="ORD0632"/>
    <x v="266"/>
    <x v="2"/>
    <x v="6"/>
    <x v="3"/>
    <n v="4"/>
    <n v="583.70000000000005"/>
    <n v="2334.8000000000002"/>
    <n v="20"/>
    <x v="631"/>
  </r>
  <r>
    <s v="ORD0633"/>
    <x v="29"/>
    <x v="3"/>
    <x v="6"/>
    <x v="1"/>
    <n v="14"/>
    <n v="91.83"/>
    <n v="1285.6199999999999"/>
    <n v="15"/>
    <x v="632"/>
  </r>
  <r>
    <s v="ORD0634"/>
    <x v="249"/>
    <x v="0"/>
    <x v="1"/>
    <x v="8"/>
    <n v="6"/>
    <n v="666.49"/>
    <n v="3998.94"/>
    <n v="15"/>
    <x v="633"/>
  </r>
  <r>
    <s v="ORD0635"/>
    <x v="28"/>
    <x v="2"/>
    <x v="1"/>
    <x v="3"/>
    <n v="7"/>
    <n v="224.02"/>
    <n v="1568.14"/>
    <n v="5"/>
    <x v="634"/>
  </r>
  <r>
    <s v="ORD0636"/>
    <x v="275"/>
    <x v="3"/>
    <x v="2"/>
    <x v="6"/>
    <n v="6"/>
    <n v="861.47"/>
    <n v="5168.82"/>
    <n v="15"/>
    <x v="635"/>
  </r>
  <r>
    <s v="ORD0637"/>
    <x v="280"/>
    <x v="1"/>
    <x v="6"/>
    <x v="4"/>
    <n v="4"/>
    <n v="587.62"/>
    <n v="2350.48"/>
    <n v="15"/>
    <x v="636"/>
  </r>
  <r>
    <s v="ORD0638"/>
    <x v="285"/>
    <x v="3"/>
    <x v="0"/>
    <x v="5"/>
    <n v="7"/>
    <n v="989.97"/>
    <n v="6929.79"/>
    <n v="5"/>
    <x v="637"/>
  </r>
  <r>
    <s v="ORD0639"/>
    <x v="261"/>
    <x v="0"/>
    <x v="9"/>
    <x v="3"/>
    <n v="11"/>
    <n v="827.71"/>
    <n v="9104.81"/>
    <n v="0"/>
    <x v="638"/>
  </r>
  <r>
    <s v="ORD0640"/>
    <x v="71"/>
    <x v="3"/>
    <x v="6"/>
    <x v="5"/>
    <n v="12"/>
    <n v="810.73"/>
    <n v="9728.76"/>
    <n v="0"/>
    <x v="639"/>
  </r>
  <r>
    <s v="ORD0641"/>
    <x v="301"/>
    <x v="0"/>
    <x v="1"/>
    <x v="4"/>
    <n v="10"/>
    <n v="141.43"/>
    <n v="1414.3"/>
    <n v="15"/>
    <x v="640"/>
  </r>
  <r>
    <s v="ORD0642"/>
    <x v="293"/>
    <x v="1"/>
    <x v="5"/>
    <x v="6"/>
    <n v="3"/>
    <n v="913.56"/>
    <n v="2740.68"/>
    <n v="15"/>
    <x v="641"/>
  </r>
  <r>
    <s v="ORD0643"/>
    <x v="63"/>
    <x v="0"/>
    <x v="0"/>
    <x v="6"/>
    <n v="12"/>
    <n v="349.63"/>
    <n v="4195.5600000000004"/>
    <n v="0"/>
    <x v="642"/>
  </r>
  <r>
    <s v="ORD0644"/>
    <x v="275"/>
    <x v="3"/>
    <x v="1"/>
    <x v="3"/>
    <n v="7"/>
    <n v="669.07"/>
    <n v="4683.49"/>
    <n v="20"/>
    <x v="643"/>
  </r>
  <r>
    <s v="ORD0645"/>
    <x v="302"/>
    <x v="3"/>
    <x v="4"/>
    <x v="1"/>
    <n v="16"/>
    <n v="418.48"/>
    <n v="6695.68"/>
    <n v="15"/>
    <x v="644"/>
  </r>
  <r>
    <s v="ORD0646"/>
    <x v="303"/>
    <x v="3"/>
    <x v="3"/>
    <x v="3"/>
    <n v="14"/>
    <n v="216.37"/>
    <n v="3029.18"/>
    <n v="15"/>
    <x v="645"/>
  </r>
  <r>
    <s v="ORD0647"/>
    <x v="144"/>
    <x v="1"/>
    <x v="1"/>
    <x v="4"/>
    <n v="12"/>
    <n v="474.14"/>
    <n v="5689.68"/>
    <n v="15"/>
    <x v="646"/>
  </r>
  <r>
    <s v="ORD0648"/>
    <x v="1"/>
    <x v="1"/>
    <x v="8"/>
    <x v="9"/>
    <n v="19"/>
    <n v="906.69"/>
    <n v="17227.11"/>
    <n v="5"/>
    <x v="647"/>
  </r>
  <r>
    <s v="ORD0649"/>
    <x v="169"/>
    <x v="2"/>
    <x v="0"/>
    <x v="3"/>
    <n v="17"/>
    <n v="222.32"/>
    <n v="3779.44"/>
    <n v="10"/>
    <x v="648"/>
  </r>
  <r>
    <s v="ORD0650"/>
    <x v="304"/>
    <x v="0"/>
    <x v="5"/>
    <x v="9"/>
    <n v="9"/>
    <n v="420.65"/>
    <n v="3785.85"/>
    <n v="0"/>
    <x v="649"/>
  </r>
  <r>
    <s v="ORD0651"/>
    <x v="92"/>
    <x v="1"/>
    <x v="6"/>
    <x v="6"/>
    <n v="1"/>
    <n v="311.10000000000002"/>
    <n v="311.10000000000002"/>
    <n v="15"/>
    <x v="650"/>
  </r>
  <r>
    <s v="ORD0652"/>
    <x v="210"/>
    <x v="0"/>
    <x v="4"/>
    <x v="1"/>
    <n v="7"/>
    <n v="314.7"/>
    <n v="2202.9"/>
    <n v="0"/>
    <x v="651"/>
  </r>
  <r>
    <s v="ORD0653"/>
    <x v="247"/>
    <x v="2"/>
    <x v="7"/>
    <x v="7"/>
    <n v="3"/>
    <n v="324.48"/>
    <n v="973.44"/>
    <n v="15"/>
    <x v="652"/>
  </r>
  <r>
    <s v="ORD0654"/>
    <x v="53"/>
    <x v="3"/>
    <x v="7"/>
    <x v="3"/>
    <n v="15"/>
    <n v="414.28"/>
    <n v="6214.2"/>
    <n v="20"/>
    <x v="653"/>
  </r>
  <r>
    <s v="ORD0655"/>
    <x v="80"/>
    <x v="2"/>
    <x v="4"/>
    <x v="7"/>
    <n v="1"/>
    <n v="80.88"/>
    <n v="80.88"/>
    <n v="15"/>
    <x v="654"/>
  </r>
  <r>
    <s v="ORD0656"/>
    <x v="190"/>
    <x v="1"/>
    <x v="2"/>
    <x v="3"/>
    <n v="6"/>
    <n v="718.94"/>
    <n v="4313.6400000000003"/>
    <n v="5"/>
    <x v="655"/>
  </r>
  <r>
    <s v="ORD0657"/>
    <x v="42"/>
    <x v="0"/>
    <x v="2"/>
    <x v="4"/>
    <n v="3"/>
    <n v="794.67"/>
    <n v="2384.0100000000002"/>
    <n v="15"/>
    <x v="656"/>
  </r>
  <r>
    <s v="ORD0658"/>
    <x v="49"/>
    <x v="0"/>
    <x v="0"/>
    <x v="8"/>
    <n v="13"/>
    <n v="302.44"/>
    <n v="3931.72"/>
    <n v="0"/>
    <x v="657"/>
  </r>
  <r>
    <s v="ORD0659"/>
    <x v="305"/>
    <x v="2"/>
    <x v="8"/>
    <x v="8"/>
    <n v="12"/>
    <n v="295.58"/>
    <n v="3546.96"/>
    <n v="0"/>
    <x v="658"/>
  </r>
  <r>
    <s v="ORD0660"/>
    <x v="201"/>
    <x v="3"/>
    <x v="7"/>
    <x v="4"/>
    <n v="11"/>
    <n v="108.39"/>
    <n v="1192.29"/>
    <n v="15"/>
    <x v="659"/>
  </r>
  <r>
    <s v="ORD0661"/>
    <x v="306"/>
    <x v="3"/>
    <x v="7"/>
    <x v="3"/>
    <n v="5"/>
    <n v="694.65"/>
    <n v="3473.25"/>
    <n v="0"/>
    <x v="660"/>
  </r>
  <r>
    <s v="ORD0662"/>
    <x v="277"/>
    <x v="2"/>
    <x v="8"/>
    <x v="6"/>
    <n v="3"/>
    <n v="378.14"/>
    <n v="1134.42"/>
    <n v="20"/>
    <x v="661"/>
  </r>
  <r>
    <s v="ORD0663"/>
    <x v="98"/>
    <x v="0"/>
    <x v="1"/>
    <x v="3"/>
    <n v="18"/>
    <n v="516.17999999999995"/>
    <n v="9291.24"/>
    <n v="10"/>
    <x v="662"/>
  </r>
  <r>
    <s v="ORD0664"/>
    <x v="56"/>
    <x v="0"/>
    <x v="8"/>
    <x v="8"/>
    <n v="13"/>
    <n v="461.32"/>
    <n v="5997.16"/>
    <n v="0"/>
    <x v="663"/>
  </r>
  <r>
    <s v="ORD0665"/>
    <x v="287"/>
    <x v="2"/>
    <x v="3"/>
    <x v="0"/>
    <n v="17"/>
    <n v="445.47"/>
    <n v="7572.99"/>
    <n v="0"/>
    <x v="664"/>
  </r>
  <r>
    <s v="ORD0666"/>
    <x v="307"/>
    <x v="0"/>
    <x v="8"/>
    <x v="8"/>
    <n v="1"/>
    <n v="813.72"/>
    <n v="813.72"/>
    <n v="0"/>
    <x v="665"/>
  </r>
  <r>
    <s v="ORD0667"/>
    <x v="227"/>
    <x v="3"/>
    <x v="0"/>
    <x v="9"/>
    <n v="17"/>
    <n v="890.63"/>
    <n v="15140.71"/>
    <n v="15"/>
    <x v="666"/>
  </r>
  <r>
    <s v="ORD0668"/>
    <x v="170"/>
    <x v="0"/>
    <x v="7"/>
    <x v="6"/>
    <n v="2"/>
    <n v="197.82"/>
    <n v="395.64"/>
    <n v="10"/>
    <x v="667"/>
  </r>
  <r>
    <s v="ORD0669"/>
    <x v="308"/>
    <x v="2"/>
    <x v="9"/>
    <x v="5"/>
    <n v="6"/>
    <n v="60"/>
    <n v="360"/>
    <n v="15"/>
    <x v="668"/>
  </r>
  <r>
    <s v="ORD0670"/>
    <x v="200"/>
    <x v="2"/>
    <x v="1"/>
    <x v="8"/>
    <n v="5"/>
    <n v="182.64"/>
    <n v="913.2"/>
    <n v="5"/>
    <x v="669"/>
  </r>
  <r>
    <s v="ORD0671"/>
    <x v="259"/>
    <x v="3"/>
    <x v="3"/>
    <x v="5"/>
    <n v="11"/>
    <n v="75.599999999999994"/>
    <n v="831.6"/>
    <n v="10"/>
    <x v="670"/>
  </r>
  <r>
    <s v="ORD0672"/>
    <x v="17"/>
    <x v="3"/>
    <x v="4"/>
    <x v="7"/>
    <n v="10"/>
    <n v="762.12"/>
    <n v="7621.2"/>
    <n v="5"/>
    <x v="671"/>
  </r>
  <r>
    <s v="ORD0673"/>
    <x v="309"/>
    <x v="1"/>
    <x v="8"/>
    <x v="2"/>
    <n v="3"/>
    <n v="139.72"/>
    <n v="419.16"/>
    <n v="10"/>
    <x v="672"/>
  </r>
  <r>
    <s v="ORD0674"/>
    <x v="155"/>
    <x v="2"/>
    <x v="0"/>
    <x v="2"/>
    <n v="18"/>
    <n v="616.87"/>
    <n v="11103.66"/>
    <n v="5"/>
    <x v="673"/>
  </r>
  <r>
    <s v="ORD0675"/>
    <x v="130"/>
    <x v="3"/>
    <x v="0"/>
    <x v="4"/>
    <n v="20"/>
    <n v="910.16"/>
    <n v="18203.2"/>
    <n v="5"/>
    <x v="674"/>
  </r>
  <r>
    <s v="ORD0676"/>
    <x v="271"/>
    <x v="3"/>
    <x v="3"/>
    <x v="7"/>
    <n v="19"/>
    <n v="740.65"/>
    <n v="14072.35"/>
    <n v="20"/>
    <x v="675"/>
  </r>
  <r>
    <s v="ORD0677"/>
    <x v="97"/>
    <x v="1"/>
    <x v="1"/>
    <x v="4"/>
    <n v="1"/>
    <n v="244.62"/>
    <n v="244.62"/>
    <n v="20"/>
    <x v="676"/>
  </r>
  <r>
    <s v="ORD0678"/>
    <x v="22"/>
    <x v="0"/>
    <x v="2"/>
    <x v="7"/>
    <n v="19"/>
    <n v="525.5"/>
    <n v="9984.5"/>
    <n v="15"/>
    <x v="677"/>
  </r>
  <r>
    <s v="ORD0679"/>
    <x v="289"/>
    <x v="0"/>
    <x v="5"/>
    <x v="9"/>
    <n v="7"/>
    <n v="886.72"/>
    <n v="6207.04"/>
    <n v="10"/>
    <x v="678"/>
  </r>
  <r>
    <s v="ORD0680"/>
    <x v="27"/>
    <x v="2"/>
    <x v="4"/>
    <x v="0"/>
    <n v="17"/>
    <n v="188.8"/>
    <n v="3209.6"/>
    <n v="15"/>
    <x v="679"/>
  </r>
  <r>
    <s v="ORD0681"/>
    <x v="286"/>
    <x v="2"/>
    <x v="2"/>
    <x v="7"/>
    <n v="3"/>
    <n v="881.67"/>
    <n v="2645.01"/>
    <n v="20"/>
    <x v="680"/>
  </r>
  <r>
    <s v="ORD0682"/>
    <x v="241"/>
    <x v="2"/>
    <x v="4"/>
    <x v="4"/>
    <n v="14"/>
    <n v="249.19"/>
    <n v="3488.66"/>
    <n v="10"/>
    <x v="681"/>
  </r>
  <r>
    <s v="ORD0683"/>
    <x v="310"/>
    <x v="1"/>
    <x v="1"/>
    <x v="7"/>
    <n v="2"/>
    <n v="945.91"/>
    <n v="1891.82"/>
    <n v="5"/>
    <x v="682"/>
  </r>
  <r>
    <s v="ORD0684"/>
    <x v="236"/>
    <x v="1"/>
    <x v="1"/>
    <x v="2"/>
    <n v="8"/>
    <n v="798.87"/>
    <n v="6390.96"/>
    <n v="15"/>
    <x v="683"/>
  </r>
  <r>
    <s v="ORD0685"/>
    <x v="214"/>
    <x v="3"/>
    <x v="7"/>
    <x v="8"/>
    <n v="13"/>
    <n v="496.4"/>
    <n v="6453.2"/>
    <n v="10"/>
    <x v="684"/>
  </r>
  <r>
    <s v="ORD0686"/>
    <x v="255"/>
    <x v="1"/>
    <x v="4"/>
    <x v="8"/>
    <n v="14"/>
    <n v="319.07"/>
    <n v="4466.9799999999996"/>
    <n v="10"/>
    <x v="685"/>
  </r>
  <r>
    <s v="ORD0687"/>
    <x v="186"/>
    <x v="2"/>
    <x v="2"/>
    <x v="6"/>
    <n v="13"/>
    <n v="67.91"/>
    <n v="882.83"/>
    <n v="15"/>
    <x v="686"/>
  </r>
  <r>
    <s v="ORD0688"/>
    <x v="311"/>
    <x v="1"/>
    <x v="5"/>
    <x v="3"/>
    <n v="5"/>
    <n v="585.85"/>
    <n v="2929.25"/>
    <n v="0"/>
    <x v="687"/>
  </r>
  <r>
    <s v="ORD0689"/>
    <x v="5"/>
    <x v="3"/>
    <x v="1"/>
    <x v="2"/>
    <n v="7"/>
    <n v="516.41"/>
    <n v="3614.87"/>
    <n v="5"/>
    <x v="688"/>
  </r>
  <r>
    <s v="ORD0690"/>
    <x v="125"/>
    <x v="2"/>
    <x v="7"/>
    <x v="6"/>
    <n v="12"/>
    <n v="805.19"/>
    <n v="9662.2800000000007"/>
    <n v="15"/>
    <x v="689"/>
  </r>
  <r>
    <s v="ORD0691"/>
    <x v="152"/>
    <x v="1"/>
    <x v="8"/>
    <x v="0"/>
    <n v="16"/>
    <n v="282.64"/>
    <n v="4522.24"/>
    <n v="0"/>
    <x v="690"/>
  </r>
  <r>
    <s v="ORD0692"/>
    <x v="77"/>
    <x v="0"/>
    <x v="7"/>
    <x v="0"/>
    <n v="9"/>
    <n v="309.52"/>
    <n v="2785.68"/>
    <n v="0"/>
    <x v="691"/>
  </r>
  <r>
    <s v="ORD0693"/>
    <x v="14"/>
    <x v="3"/>
    <x v="3"/>
    <x v="6"/>
    <n v="16"/>
    <n v="120.48"/>
    <n v="1927.68"/>
    <n v="5"/>
    <x v="692"/>
  </r>
  <r>
    <s v="ORD0694"/>
    <x v="166"/>
    <x v="1"/>
    <x v="8"/>
    <x v="0"/>
    <n v="4"/>
    <n v="271.36"/>
    <n v="1085.44"/>
    <n v="5"/>
    <x v="693"/>
  </r>
  <r>
    <s v="ORD0695"/>
    <x v="173"/>
    <x v="3"/>
    <x v="1"/>
    <x v="5"/>
    <n v="12"/>
    <n v="472.66"/>
    <n v="5671.92"/>
    <n v="0"/>
    <x v="694"/>
  </r>
  <r>
    <s v="ORD0696"/>
    <x v="312"/>
    <x v="1"/>
    <x v="1"/>
    <x v="3"/>
    <n v="18"/>
    <n v="525.55999999999995"/>
    <n v="9460.08"/>
    <n v="10"/>
    <x v="695"/>
  </r>
  <r>
    <s v="ORD0697"/>
    <x v="150"/>
    <x v="0"/>
    <x v="1"/>
    <x v="7"/>
    <n v="8"/>
    <n v="332.16"/>
    <n v="2657.28"/>
    <n v="0"/>
    <x v="696"/>
  </r>
  <r>
    <s v="ORD0698"/>
    <x v="313"/>
    <x v="2"/>
    <x v="9"/>
    <x v="5"/>
    <n v="2"/>
    <n v="957.29"/>
    <n v="1914.58"/>
    <n v="5"/>
    <x v="697"/>
  </r>
  <r>
    <s v="ORD0699"/>
    <x v="314"/>
    <x v="0"/>
    <x v="6"/>
    <x v="0"/>
    <n v="9"/>
    <n v="350.64"/>
    <n v="3155.76"/>
    <n v="5"/>
    <x v="698"/>
  </r>
  <r>
    <s v="ORD0700"/>
    <x v="118"/>
    <x v="3"/>
    <x v="2"/>
    <x v="3"/>
    <n v="13"/>
    <n v="544.59"/>
    <n v="7079.67"/>
    <n v="10"/>
    <x v="699"/>
  </r>
  <r>
    <s v="ORD0701"/>
    <x v="192"/>
    <x v="3"/>
    <x v="8"/>
    <x v="3"/>
    <n v="17"/>
    <n v="64.900000000000006"/>
    <n v="1103.3"/>
    <n v="0"/>
    <x v="700"/>
  </r>
  <r>
    <s v="ORD0702"/>
    <x v="150"/>
    <x v="0"/>
    <x v="5"/>
    <x v="4"/>
    <n v="17"/>
    <n v="537.07000000000005"/>
    <n v="9130.19"/>
    <n v="15"/>
    <x v="701"/>
  </r>
  <r>
    <s v="ORD0703"/>
    <x v="97"/>
    <x v="3"/>
    <x v="4"/>
    <x v="5"/>
    <n v="1"/>
    <n v="441.68"/>
    <n v="441.68"/>
    <n v="20"/>
    <x v="702"/>
  </r>
  <r>
    <s v="ORD0704"/>
    <x v="226"/>
    <x v="3"/>
    <x v="9"/>
    <x v="6"/>
    <n v="14"/>
    <n v="239.11"/>
    <n v="3347.54"/>
    <n v="10"/>
    <x v="703"/>
  </r>
  <r>
    <s v="ORD0705"/>
    <x v="24"/>
    <x v="2"/>
    <x v="7"/>
    <x v="2"/>
    <n v="11"/>
    <n v="244.29"/>
    <n v="2687.19"/>
    <n v="0"/>
    <x v="704"/>
  </r>
  <r>
    <s v="ORD0706"/>
    <x v="128"/>
    <x v="3"/>
    <x v="8"/>
    <x v="7"/>
    <n v="6"/>
    <n v="944.76"/>
    <n v="5668.56"/>
    <n v="10"/>
    <x v="705"/>
  </r>
  <r>
    <s v="ORD0707"/>
    <x v="196"/>
    <x v="1"/>
    <x v="3"/>
    <x v="3"/>
    <n v="8"/>
    <n v="857.31"/>
    <n v="6858.48"/>
    <n v="10"/>
    <x v="706"/>
  </r>
  <r>
    <s v="ORD0708"/>
    <x v="302"/>
    <x v="1"/>
    <x v="7"/>
    <x v="7"/>
    <n v="3"/>
    <n v="947.56"/>
    <n v="2842.68"/>
    <n v="5"/>
    <x v="707"/>
  </r>
  <r>
    <s v="ORD0709"/>
    <x v="65"/>
    <x v="3"/>
    <x v="8"/>
    <x v="6"/>
    <n v="16"/>
    <n v="772.39"/>
    <n v="12358.24"/>
    <n v="5"/>
    <x v="708"/>
  </r>
  <r>
    <s v="ORD0710"/>
    <x v="118"/>
    <x v="2"/>
    <x v="0"/>
    <x v="4"/>
    <n v="4"/>
    <n v="369.81"/>
    <n v="1479.24"/>
    <n v="0"/>
    <x v="709"/>
  </r>
  <r>
    <s v="ORD0711"/>
    <x v="18"/>
    <x v="1"/>
    <x v="6"/>
    <x v="3"/>
    <n v="9"/>
    <n v="546.74"/>
    <n v="4920.66"/>
    <n v="10"/>
    <x v="710"/>
  </r>
  <r>
    <s v="ORD0712"/>
    <x v="265"/>
    <x v="3"/>
    <x v="8"/>
    <x v="8"/>
    <n v="1"/>
    <n v="626.02"/>
    <n v="626.02"/>
    <n v="10"/>
    <x v="711"/>
  </r>
  <r>
    <s v="ORD0713"/>
    <x v="311"/>
    <x v="0"/>
    <x v="9"/>
    <x v="1"/>
    <n v="9"/>
    <n v="936.67"/>
    <n v="8430.0300000000007"/>
    <n v="10"/>
    <x v="712"/>
  </r>
  <r>
    <s v="ORD0714"/>
    <x v="29"/>
    <x v="3"/>
    <x v="9"/>
    <x v="2"/>
    <n v="19"/>
    <n v="832.61"/>
    <n v="15819.59"/>
    <n v="0"/>
    <x v="713"/>
  </r>
  <r>
    <s v="ORD0715"/>
    <x v="104"/>
    <x v="1"/>
    <x v="0"/>
    <x v="5"/>
    <n v="20"/>
    <n v="937.95"/>
    <n v="18759"/>
    <n v="5"/>
    <x v="714"/>
  </r>
  <r>
    <s v="ORD0716"/>
    <x v="315"/>
    <x v="3"/>
    <x v="5"/>
    <x v="1"/>
    <n v="20"/>
    <n v="174.84"/>
    <n v="3496.8"/>
    <n v="10"/>
    <x v="715"/>
  </r>
  <r>
    <s v="ORD0717"/>
    <x v="280"/>
    <x v="3"/>
    <x v="0"/>
    <x v="6"/>
    <n v="17"/>
    <n v="308.14999999999998"/>
    <n v="5238.55"/>
    <n v="20"/>
    <x v="716"/>
  </r>
  <r>
    <s v="ORD0718"/>
    <x v="246"/>
    <x v="1"/>
    <x v="5"/>
    <x v="9"/>
    <n v="15"/>
    <n v="873"/>
    <n v="13095"/>
    <n v="0"/>
    <x v="717"/>
  </r>
  <r>
    <s v="ORD0719"/>
    <x v="185"/>
    <x v="1"/>
    <x v="5"/>
    <x v="9"/>
    <n v="13"/>
    <n v="502.94"/>
    <n v="6538.22"/>
    <n v="0"/>
    <x v="718"/>
  </r>
  <r>
    <s v="ORD0720"/>
    <x v="305"/>
    <x v="2"/>
    <x v="1"/>
    <x v="8"/>
    <n v="2"/>
    <n v="111.99"/>
    <n v="223.98"/>
    <n v="5"/>
    <x v="719"/>
  </r>
  <r>
    <s v="ORD0721"/>
    <x v="107"/>
    <x v="0"/>
    <x v="2"/>
    <x v="0"/>
    <n v="11"/>
    <n v="321.86"/>
    <n v="3540.46"/>
    <n v="10"/>
    <x v="720"/>
  </r>
  <r>
    <s v="ORD0722"/>
    <x v="200"/>
    <x v="2"/>
    <x v="6"/>
    <x v="9"/>
    <n v="11"/>
    <n v="146.49"/>
    <n v="1611.39"/>
    <n v="10"/>
    <x v="721"/>
  </r>
  <r>
    <s v="ORD0723"/>
    <x v="264"/>
    <x v="0"/>
    <x v="8"/>
    <x v="0"/>
    <n v="17"/>
    <n v="422.36"/>
    <n v="7180.12"/>
    <n v="10"/>
    <x v="722"/>
  </r>
  <r>
    <s v="ORD0724"/>
    <x v="262"/>
    <x v="1"/>
    <x v="3"/>
    <x v="0"/>
    <n v="6"/>
    <n v="787.74"/>
    <n v="4726.4399999999996"/>
    <n v="0"/>
    <x v="723"/>
  </r>
  <r>
    <s v="ORD0725"/>
    <x v="224"/>
    <x v="0"/>
    <x v="8"/>
    <x v="2"/>
    <n v="19"/>
    <n v="321.93"/>
    <n v="6116.67"/>
    <n v="20"/>
    <x v="724"/>
  </r>
  <r>
    <s v="ORD0726"/>
    <x v="200"/>
    <x v="2"/>
    <x v="0"/>
    <x v="3"/>
    <n v="1"/>
    <n v="882.41"/>
    <n v="882.41"/>
    <n v="0"/>
    <x v="725"/>
  </r>
  <r>
    <s v="ORD0727"/>
    <x v="271"/>
    <x v="0"/>
    <x v="9"/>
    <x v="8"/>
    <n v="10"/>
    <n v="690.24"/>
    <n v="6902.4"/>
    <n v="5"/>
    <x v="726"/>
  </r>
  <r>
    <s v="ORD0728"/>
    <x v="116"/>
    <x v="1"/>
    <x v="4"/>
    <x v="0"/>
    <n v="5"/>
    <n v="395.11"/>
    <n v="1975.55"/>
    <n v="20"/>
    <x v="727"/>
  </r>
  <r>
    <s v="ORD0729"/>
    <x v="229"/>
    <x v="1"/>
    <x v="8"/>
    <x v="8"/>
    <n v="1"/>
    <n v="612.80999999999995"/>
    <n v="612.80999999999995"/>
    <n v="5"/>
    <x v="728"/>
  </r>
  <r>
    <s v="ORD0730"/>
    <x v="28"/>
    <x v="0"/>
    <x v="2"/>
    <x v="8"/>
    <n v="6"/>
    <n v="324.60000000000002"/>
    <n v="1947.6"/>
    <n v="0"/>
    <x v="729"/>
  </r>
  <r>
    <s v="ORD0731"/>
    <x v="172"/>
    <x v="3"/>
    <x v="7"/>
    <x v="0"/>
    <n v="8"/>
    <n v="246.52"/>
    <n v="1972.16"/>
    <n v="5"/>
    <x v="730"/>
  </r>
  <r>
    <s v="ORD0732"/>
    <x v="316"/>
    <x v="0"/>
    <x v="6"/>
    <x v="1"/>
    <n v="15"/>
    <n v="181.33"/>
    <n v="2719.95"/>
    <n v="10"/>
    <x v="731"/>
  </r>
  <r>
    <s v="ORD0733"/>
    <x v="143"/>
    <x v="2"/>
    <x v="8"/>
    <x v="0"/>
    <n v="9"/>
    <n v="568.91"/>
    <n v="5120.1899999999996"/>
    <n v="15"/>
    <x v="732"/>
  </r>
  <r>
    <s v="ORD0734"/>
    <x v="283"/>
    <x v="0"/>
    <x v="0"/>
    <x v="1"/>
    <n v="11"/>
    <n v="581.87"/>
    <n v="6400.57"/>
    <n v="5"/>
    <x v="733"/>
  </r>
  <r>
    <s v="ORD0735"/>
    <x v="207"/>
    <x v="1"/>
    <x v="3"/>
    <x v="4"/>
    <n v="20"/>
    <n v="532.9"/>
    <n v="10658"/>
    <n v="10"/>
    <x v="734"/>
  </r>
  <r>
    <s v="ORD0736"/>
    <x v="310"/>
    <x v="1"/>
    <x v="2"/>
    <x v="1"/>
    <n v="9"/>
    <n v="82.41"/>
    <n v="741.69"/>
    <n v="0"/>
    <x v="735"/>
  </r>
  <r>
    <s v="ORD0737"/>
    <x v="213"/>
    <x v="1"/>
    <x v="0"/>
    <x v="5"/>
    <n v="20"/>
    <n v="476.56"/>
    <n v="9531.2000000000007"/>
    <n v="5"/>
    <x v="736"/>
  </r>
  <r>
    <s v="ORD0738"/>
    <x v="72"/>
    <x v="2"/>
    <x v="7"/>
    <x v="7"/>
    <n v="14"/>
    <n v="885.42"/>
    <n v="12395.88"/>
    <n v="0"/>
    <x v="737"/>
  </r>
  <r>
    <s v="ORD0739"/>
    <x v="315"/>
    <x v="2"/>
    <x v="8"/>
    <x v="8"/>
    <n v="2"/>
    <n v="704.91"/>
    <n v="1409.82"/>
    <n v="10"/>
    <x v="738"/>
  </r>
  <r>
    <s v="ORD0740"/>
    <x v="304"/>
    <x v="3"/>
    <x v="3"/>
    <x v="2"/>
    <n v="12"/>
    <n v="593.22"/>
    <n v="7118.64"/>
    <n v="15"/>
    <x v="739"/>
  </r>
  <r>
    <s v="ORD0741"/>
    <x v="317"/>
    <x v="3"/>
    <x v="7"/>
    <x v="9"/>
    <n v="10"/>
    <n v="166.29"/>
    <n v="1662.9"/>
    <n v="0"/>
    <x v="740"/>
  </r>
  <r>
    <s v="ORD0742"/>
    <x v="68"/>
    <x v="3"/>
    <x v="2"/>
    <x v="4"/>
    <n v="18"/>
    <n v="191.65"/>
    <n v="3449.7"/>
    <n v="5"/>
    <x v="741"/>
  </r>
  <r>
    <s v="ORD0743"/>
    <x v="83"/>
    <x v="3"/>
    <x v="5"/>
    <x v="5"/>
    <n v="11"/>
    <n v="178.13"/>
    <n v="1959.43"/>
    <n v="5"/>
    <x v="742"/>
  </r>
  <r>
    <s v="ORD0744"/>
    <x v="27"/>
    <x v="1"/>
    <x v="5"/>
    <x v="1"/>
    <n v="19"/>
    <n v="87.2"/>
    <n v="1656.8"/>
    <n v="5"/>
    <x v="743"/>
  </r>
  <r>
    <s v="ORD0745"/>
    <x v="164"/>
    <x v="2"/>
    <x v="5"/>
    <x v="2"/>
    <n v="14"/>
    <n v="265.7"/>
    <n v="3719.8"/>
    <n v="10"/>
    <x v="744"/>
  </r>
  <r>
    <s v="ORD0746"/>
    <x v="126"/>
    <x v="2"/>
    <x v="5"/>
    <x v="9"/>
    <n v="16"/>
    <n v="742.78"/>
    <n v="11884.48"/>
    <n v="15"/>
    <x v="745"/>
  </r>
  <r>
    <s v="ORD0747"/>
    <x v="262"/>
    <x v="0"/>
    <x v="5"/>
    <x v="1"/>
    <n v="18"/>
    <n v="175.06"/>
    <n v="3151.08"/>
    <n v="10"/>
    <x v="746"/>
  </r>
  <r>
    <s v="ORD0748"/>
    <x v="32"/>
    <x v="3"/>
    <x v="7"/>
    <x v="8"/>
    <n v="3"/>
    <n v="619.55999999999995"/>
    <n v="1858.68"/>
    <n v="15"/>
    <x v="747"/>
  </r>
  <r>
    <s v="ORD0749"/>
    <x v="318"/>
    <x v="3"/>
    <x v="8"/>
    <x v="3"/>
    <n v="4"/>
    <n v="929.7"/>
    <n v="3718.8"/>
    <n v="0"/>
    <x v="748"/>
  </r>
  <r>
    <s v="ORD0750"/>
    <x v="102"/>
    <x v="1"/>
    <x v="5"/>
    <x v="4"/>
    <n v="18"/>
    <n v="227.5"/>
    <n v="4095"/>
    <n v="0"/>
    <x v="749"/>
  </r>
  <r>
    <s v="ORD0751"/>
    <x v="52"/>
    <x v="1"/>
    <x v="8"/>
    <x v="4"/>
    <n v="2"/>
    <n v="535.15"/>
    <n v="1070.3"/>
    <n v="15"/>
    <x v="750"/>
  </r>
  <r>
    <s v="ORD0752"/>
    <x v="299"/>
    <x v="1"/>
    <x v="9"/>
    <x v="7"/>
    <n v="15"/>
    <n v="243.33"/>
    <n v="3649.95"/>
    <n v="10"/>
    <x v="751"/>
  </r>
  <r>
    <s v="ORD0753"/>
    <x v="186"/>
    <x v="0"/>
    <x v="4"/>
    <x v="7"/>
    <n v="10"/>
    <n v="272.26"/>
    <n v="2722.6"/>
    <n v="5"/>
    <x v="752"/>
  </r>
  <r>
    <s v="ORD0754"/>
    <x v="222"/>
    <x v="0"/>
    <x v="6"/>
    <x v="2"/>
    <n v="12"/>
    <n v="238.44"/>
    <n v="2861.28"/>
    <n v="5"/>
    <x v="753"/>
  </r>
  <r>
    <s v="ORD0755"/>
    <x v="53"/>
    <x v="3"/>
    <x v="5"/>
    <x v="2"/>
    <n v="10"/>
    <n v="114.57"/>
    <n v="1145.7"/>
    <n v="0"/>
    <x v="754"/>
  </r>
  <r>
    <s v="ORD0756"/>
    <x v="66"/>
    <x v="0"/>
    <x v="7"/>
    <x v="1"/>
    <n v="6"/>
    <n v="992.14"/>
    <n v="5952.84"/>
    <n v="20"/>
    <x v="755"/>
  </r>
  <r>
    <s v="ORD0757"/>
    <x v="27"/>
    <x v="2"/>
    <x v="9"/>
    <x v="6"/>
    <n v="16"/>
    <n v="284.08"/>
    <n v="4545.28"/>
    <n v="20"/>
    <x v="756"/>
  </r>
  <r>
    <s v="ORD0758"/>
    <x v="192"/>
    <x v="0"/>
    <x v="4"/>
    <x v="4"/>
    <n v="9"/>
    <n v="572.62"/>
    <n v="5153.58"/>
    <n v="0"/>
    <x v="757"/>
  </r>
  <r>
    <s v="ORD0759"/>
    <x v="57"/>
    <x v="2"/>
    <x v="7"/>
    <x v="3"/>
    <n v="8"/>
    <n v="903.51"/>
    <n v="7228.08"/>
    <n v="15"/>
    <x v="758"/>
  </r>
  <r>
    <s v="ORD0760"/>
    <x v="52"/>
    <x v="0"/>
    <x v="3"/>
    <x v="1"/>
    <n v="1"/>
    <n v="966.29"/>
    <n v="966.29"/>
    <n v="10"/>
    <x v="759"/>
  </r>
  <r>
    <s v="ORD0761"/>
    <x v="316"/>
    <x v="2"/>
    <x v="7"/>
    <x v="9"/>
    <n v="6"/>
    <n v="992.18"/>
    <n v="5953.08"/>
    <n v="5"/>
    <x v="760"/>
  </r>
  <r>
    <s v="ORD0762"/>
    <x v="319"/>
    <x v="2"/>
    <x v="9"/>
    <x v="8"/>
    <n v="10"/>
    <n v="402.21"/>
    <n v="4022.1"/>
    <n v="15"/>
    <x v="761"/>
  </r>
  <r>
    <s v="ORD0763"/>
    <x v="109"/>
    <x v="1"/>
    <x v="8"/>
    <x v="5"/>
    <n v="10"/>
    <n v="563.44000000000005"/>
    <n v="5634.4"/>
    <n v="0"/>
    <x v="762"/>
  </r>
  <r>
    <s v="ORD0764"/>
    <x v="320"/>
    <x v="3"/>
    <x v="5"/>
    <x v="8"/>
    <n v="2"/>
    <n v="879.93"/>
    <n v="1759.86"/>
    <n v="0"/>
    <x v="763"/>
  </r>
  <r>
    <s v="ORD0765"/>
    <x v="321"/>
    <x v="2"/>
    <x v="9"/>
    <x v="0"/>
    <n v="15"/>
    <n v="953.9"/>
    <n v="14308.5"/>
    <n v="5"/>
    <x v="764"/>
  </r>
  <r>
    <s v="ORD0766"/>
    <x v="322"/>
    <x v="1"/>
    <x v="1"/>
    <x v="3"/>
    <n v="1"/>
    <n v="205.45"/>
    <n v="205.45"/>
    <n v="20"/>
    <x v="765"/>
  </r>
  <r>
    <s v="ORD0767"/>
    <x v="148"/>
    <x v="1"/>
    <x v="9"/>
    <x v="9"/>
    <n v="5"/>
    <n v="124.74"/>
    <n v="623.70000000000005"/>
    <n v="0"/>
    <x v="766"/>
  </r>
  <r>
    <s v="ORD0768"/>
    <x v="246"/>
    <x v="3"/>
    <x v="2"/>
    <x v="1"/>
    <n v="8"/>
    <n v="576.11"/>
    <n v="4608.88"/>
    <n v="20"/>
    <x v="767"/>
  </r>
  <r>
    <s v="ORD0769"/>
    <x v="113"/>
    <x v="1"/>
    <x v="9"/>
    <x v="9"/>
    <n v="13"/>
    <n v="780.24"/>
    <n v="10143.120000000001"/>
    <n v="20"/>
    <x v="768"/>
  </r>
  <r>
    <s v="ORD0770"/>
    <x v="187"/>
    <x v="1"/>
    <x v="8"/>
    <x v="7"/>
    <n v="2"/>
    <n v="158.47"/>
    <n v="316.94"/>
    <n v="5"/>
    <x v="769"/>
  </r>
  <r>
    <s v="ORD0771"/>
    <x v="79"/>
    <x v="1"/>
    <x v="5"/>
    <x v="4"/>
    <n v="11"/>
    <n v="103.76"/>
    <n v="1141.3599999999999"/>
    <n v="15"/>
    <x v="770"/>
  </r>
  <r>
    <s v="ORD0772"/>
    <x v="249"/>
    <x v="3"/>
    <x v="3"/>
    <x v="4"/>
    <n v="4"/>
    <n v="796.02"/>
    <n v="3184.08"/>
    <n v="5"/>
    <x v="771"/>
  </r>
  <r>
    <s v="ORD0773"/>
    <x v="156"/>
    <x v="2"/>
    <x v="0"/>
    <x v="5"/>
    <n v="2"/>
    <n v="82.44"/>
    <n v="164.88"/>
    <n v="10"/>
    <x v="772"/>
  </r>
  <r>
    <s v="ORD0774"/>
    <x v="176"/>
    <x v="3"/>
    <x v="7"/>
    <x v="2"/>
    <n v="3"/>
    <n v="233.73"/>
    <n v="701.19"/>
    <n v="20"/>
    <x v="773"/>
  </r>
  <r>
    <s v="ORD0775"/>
    <x v="209"/>
    <x v="2"/>
    <x v="7"/>
    <x v="6"/>
    <n v="9"/>
    <n v="213.92"/>
    <n v="1925.28"/>
    <n v="5"/>
    <x v="774"/>
  </r>
  <r>
    <s v="ORD0776"/>
    <x v="7"/>
    <x v="1"/>
    <x v="1"/>
    <x v="4"/>
    <n v="18"/>
    <n v="831.82"/>
    <n v="14972.76"/>
    <n v="15"/>
    <x v="775"/>
  </r>
  <r>
    <s v="ORD0777"/>
    <x v="281"/>
    <x v="1"/>
    <x v="3"/>
    <x v="1"/>
    <n v="12"/>
    <n v="879.68"/>
    <n v="10556.16"/>
    <n v="15"/>
    <x v="776"/>
  </r>
  <r>
    <s v="ORD0778"/>
    <x v="17"/>
    <x v="0"/>
    <x v="4"/>
    <x v="2"/>
    <n v="18"/>
    <n v="552.99"/>
    <n v="9953.82"/>
    <n v="15"/>
    <x v="777"/>
  </r>
  <r>
    <s v="ORD0779"/>
    <x v="61"/>
    <x v="1"/>
    <x v="7"/>
    <x v="2"/>
    <n v="1"/>
    <n v="360.6"/>
    <n v="360.6"/>
    <n v="20"/>
    <x v="778"/>
  </r>
  <r>
    <s v="ORD0780"/>
    <x v="279"/>
    <x v="2"/>
    <x v="0"/>
    <x v="0"/>
    <n v="15"/>
    <n v="528.04"/>
    <n v="7920.6"/>
    <n v="5"/>
    <x v="779"/>
  </r>
  <r>
    <s v="ORD0781"/>
    <x v="323"/>
    <x v="1"/>
    <x v="8"/>
    <x v="0"/>
    <n v="20"/>
    <n v="75.510000000000005"/>
    <n v="1510.2"/>
    <n v="15"/>
    <x v="780"/>
  </r>
  <r>
    <s v="ORD0782"/>
    <x v="324"/>
    <x v="1"/>
    <x v="8"/>
    <x v="4"/>
    <n v="19"/>
    <n v="797.88"/>
    <n v="15159.72"/>
    <n v="0"/>
    <x v="781"/>
  </r>
  <r>
    <s v="ORD0783"/>
    <x v="70"/>
    <x v="3"/>
    <x v="6"/>
    <x v="7"/>
    <n v="14"/>
    <n v="566.41999999999996"/>
    <n v="7929.88"/>
    <n v="20"/>
    <x v="782"/>
  </r>
  <r>
    <s v="ORD0784"/>
    <x v="225"/>
    <x v="1"/>
    <x v="8"/>
    <x v="9"/>
    <n v="14"/>
    <n v="821.29"/>
    <n v="11498.06"/>
    <n v="20"/>
    <x v="783"/>
  </r>
  <r>
    <s v="ORD0785"/>
    <x v="236"/>
    <x v="0"/>
    <x v="1"/>
    <x v="6"/>
    <n v="11"/>
    <n v="670.31"/>
    <n v="7373.41"/>
    <n v="20"/>
    <x v="784"/>
  </r>
  <r>
    <s v="ORD0786"/>
    <x v="58"/>
    <x v="3"/>
    <x v="8"/>
    <x v="2"/>
    <n v="19"/>
    <n v="554.07000000000005"/>
    <n v="10527.33"/>
    <n v="0"/>
    <x v="785"/>
  </r>
  <r>
    <s v="ORD0787"/>
    <x v="325"/>
    <x v="1"/>
    <x v="1"/>
    <x v="2"/>
    <n v="11"/>
    <n v="225.22"/>
    <n v="2477.42"/>
    <n v="20"/>
    <x v="786"/>
  </r>
  <r>
    <s v="ORD0788"/>
    <x v="27"/>
    <x v="3"/>
    <x v="2"/>
    <x v="3"/>
    <n v="17"/>
    <n v="906.66"/>
    <n v="15413.22"/>
    <n v="0"/>
    <x v="787"/>
  </r>
  <r>
    <s v="ORD0789"/>
    <x v="148"/>
    <x v="1"/>
    <x v="4"/>
    <x v="9"/>
    <n v="3"/>
    <n v="759.23"/>
    <n v="2277.69"/>
    <n v="5"/>
    <x v="788"/>
  </r>
  <r>
    <s v="ORD0790"/>
    <x v="252"/>
    <x v="2"/>
    <x v="4"/>
    <x v="5"/>
    <n v="4"/>
    <n v="946.27"/>
    <n v="3785.08"/>
    <n v="20"/>
    <x v="789"/>
  </r>
  <r>
    <s v="ORD0791"/>
    <x v="191"/>
    <x v="0"/>
    <x v="1"/>
    <x v="7"/>
    <n v="5"/>
    <n v="648.87"/>
    <n v="3244.35"/>
    <n v="15"/>
    <x v="790"/>
  </r>
  <r>
    <s v="ORD0792"/>
    <x v="74"/>
    <x v="3"/>
    <x v="0"/>
    <x v="2"/>
    <n v="19"/>
    <n v="739.4"/>
    <n v="14048.6"/>
    <n v="5"/>
    <x v="791"/>
  </r>
  <r>
    <s v="ORD0793"/>
    <x v="125"/>
    <x v="1"/>
    <x v="3"/>
    <x v="0"/>
    <n v="8"/>
    <n v="282.3"/>
    <n v="2258.4"/>
    <n v="10"/>
    <x v="792"/>
  </r>
  <r>
    <s v="ORD0794"/>
    <x v="228"/>
    <x v="1"/>
    <x v="6"/>
    <x v="9"/>
    <n v="6"/>
    <n v="294.55"/>
    <n v="1767.3"/>
    <n v="5"/>
    <x v="793"/>
  </r>
  <r>
    <s v="ORD0795"/>
    <x v="262"/>
    <x v="3"/>
    <x v="5"/>
    <x v="4"/>
    <n v="10"/>
    <n v="933.66"/>
    <n v="9336.6"/>
    <n v="10"/>
    <x v="794"/>
  </r>
  <r>
    <s v="ORD0796"/>
    <x v="325"/>
    <x v="3"/>
    <x v="7"/>
    <x v="9"/>
    <n v="15"/>
    <n v="523.12"/>
    <n v="7846.8"/>
    <n v="20"/>
    <x v="795"/>
  </r>
  <r>
    <s v="ORD0797"/>
    <x v="326"/>
    <x v="0"/>
    <x v="4"/>
    <x v="7"/>
    <n v="2"/>
    <n v="115.35"/>
    <n v="230.7"/>
    <n v="10"/>
    <x v="796"/>
  </r>
  <r>
    <s v="ORD0798"/>
    <x v="105"/>
    <x v="3"/>
    <x v="9"/>
    <x v="2"/>
    <n v="2"/>
    <n v="774.31"/>
    <n v="1548.62"/>
    <n v="15"/>
    <x v="797"/>
  </r>
  <r>
    <s v="ORD0799"/>
    <x v="313"/>
    <x v="2"/>
    <x v="0"/>
    <x v="8"/>
    <n v="8"/>
    <n v="766.43"/>
    <n v="6131.44"/>
    <n v="0"/>
    <x v="798"/>
  </r>
  <r>
    <s v="ORD0800"/>
    <x v="324"/>
    <x v="2"/>
    <x v="0"/>
    <x v="8"/>
    <n v="13"/>
    <n v="615.84"/>
    <n v="8005.92"/>
    <n v="0"/>
    <x v="799"/>
  </r>
  <r>
    <s v="ORD0801"/>
    <x v="247"/>
    <x v="1"/>
    <x v="3"/>
    <x v="2"/>
    <n v="4"/>
    <n v="401.63"/>
    <n v="1606.52"/>
    <n v="15"/>
    <x v="800"/>
  </r>
  <r>
    <s v="ORD0802"/>
    <x v="314"/>
    <x v="1"/>
    <x v="5"/>
    <x v="2"/>
    <n v="15"/>
    <n v="393.26"/>
    <n v="5898.9"/>
    <n v="10"/>
    <x v="801"/>
  </r>
  <r>
    <s v="ORD0803"/>
    <x v="65"/>
    <x v="3"/>
    <x v="2"/>
    <x v="0"/>
    <n v="2"/>
    <n v="228.86"/>
    <n v="457.72"/>
    <n v="0"/>
    <x v="802"/>
  </r>
  <r>
    <s v="ORD0804"/>
    <x v="132"/>
    <x v="2"/>
    <x v="7"/>
    <x v="9"/>
    <n v="1"/>
    <n v="574.49"/>
    <n v="574.49"/>
    <n v="0"/>
    <x v="803"/>
  </r>
  <r>
    <s v="ORD0805"/>
    <x v="32"/>
    <x v="1"/>
    <x v="4"/>
    <x v="5"/>
    <n v="18"/>
    <n v="456.58"/>
    <n v="8218.44"/>
    <n v="0"/>
    <x v="804"/>
  </r>
  <r>
    <s v="ORD0806"/>
    <x v="309"/>
    <x v="0"/>
    <x v="0"/>
    <x v="3"/>
    <n v="9"/>
    <n v="733.82"/>
    <n v="6604.38"/>
    <n v="10"/>
    <x v="805"/>
  </r>
  <r>
    <s v="ORD0807"/>
    <x v="110"/>
    <x v="1"/>
    <x v="9"/>
    <x v="0"/>
    <n v="18"/>
    <n v="814.89"/>
    <n v="14668.02"/>
    <n v="0"/>
    <x v="806"/>
  </r>
  <r>
    <s v="ORD0808"/>
    <x v="279"/>
    <x v="0"/>
    <x v="3"/>
    <x v="4"/>
    <n v="13"/>
    <n v="816.45"/>
    <n v="10613.85"/>
    <n v="20"/>
    <x v="807"/>
  </r>
  <r>
    <s v="ORD0809"/>
    <x v="290"/>
    <x v="1"/>
    <x v="4"/>
    <x v="2"/>
    <n v="4"/>
    <n v="823.05"/>
    <n v="3292.2"/>
    <n v="0"/>
    <x v="808"/>
  </r>
  <r>
    <s v="ORD0810"/>
    <x v="245"/>
    <x v="1"/>
    <x v="9"/>
    <x v="8"/>
    <n v="18"/>
    <n v="664.68"/>
    <n v="11964.24"/>
    <n v="20"/>
    <x v="809"/>
  </r>
  <r>
    <s v="ORD0811"/>
    <x v="114"/>
    <x v="3"/>
    <x v="6"/>
    <x v="1"/>
    <n v="11"/>
    <n v="483.25"/>
    <n v="5315.75"/>
    <n v="20"/>
    <x v="810"/>
  </r>
  <r>
    <s v="ORD0812"/>
    <x v="55"/>
    <x v="2"/>
    <x v="5"/>
    <x v="0"/>
    <n v="12"/>
    <n v="995.82"/>
    <n v="11949.84"/>
    <n v="10"/>
    <x v="811"/>
  </r>
  <r>
    <s v="ORD0813"/>
    <x v="112"/>
    <x v="2"/>
    <x v="3"/>
    <x v="8"/>
    <n v="10"/>
    <n v="347.13"/>
    <n v="3471.3"/>
    <n v="15"/>
    <x v="812"/>
  </r>
  <r>
    <s v="ORD0814"/>
    <x v="182"/>
    <x v="0"/>
    <x v="9"/>
    <x v="5"/>
    <n v="3"/>
    <n v="847.58"/>
    <n v="2542.7399999999998"/>
    <n v="20"/>
    <x v="813"/>
  </r>
  <r>
    <s v="ORD0815"/>
    <x v="160"/>
    <x v="3"/>
    <x v="9"/>
    <x v="6"/>
    <n v="12"/>
    <n v="723.28"/>
    <n v="8679.36"/>
    <n v="20"/>
    <x v="814"/>
  </r>
  <r>
    <s v="ORD0816"/>
    <x v="298"/>
    <x v="0"/>
    <x v="4"/>
    <x v="5"/>
    <n v="3"/>
    <n v="661.95"/>
    <n v="1985.85"/>
    <n v="20"/>
    <x v="815"/>
  </r>
  <r>
    <s v="ORD0817"/>
    <x v="143"/>
    <x v="2"/>
    <x v="4"/>
    <x v="5"/>
    <n v="16"/>
    <n v="228.35"/>
    <n v="3653.6"/>
    <n v="10"/>
    <x v="816"/>
  </r>
  <r>
    <s v="ORD0818"/>
    <x v="327"/>
    <x v="2"/>
    <x v="2"/>
    <x v="7"/>
    <n v="6"/>
    <n v="106.55"/>
    <n v="639.29999999999995"/>
    <n v="10"/>
    <x v="817"/>
  </r>
  <r>
    <s v="ORD0819"/>
    <x v="175"/>
    <x v="3"/>
    <x v="7"/>
    <x v="5"/>
    <n v="9"/>
    <n v="94.96"/>
    <n v="854.64"/>
    <n v="20"/>
    <x v="818"/>
  </r>
  <r>
    <s v="ORD0820"/>
    <x v="190"/>
    <x v="2"/>
    <x v="7"/>
    <x v="5"/>
    <n v="14"/>
    <n v="811.04"/>
    <n v="11354.56"/>
    <n v="15"/>
    <x v="819"/>
  </r>
  <r>
    <s v="ORD0821"/>
    <x v="308"/>
    <x v="0"/>
    <x v="1"/>
    <x v="7"/>
    <n v="4"/>
    <n v="646.96"/>
    <n v="2587.84"/>
    <n v="0"/>
    <x v="820"/>
  </r>
  <r>
    <s v="ORD0822"/>
    <x v="312"/>
    <x v="0"/>
    <x v="0"/>
    <x v="8"/>
    <n v="3"/>
    <n v="910.08"/>
    <n v="2730.24"/>
    <n v="10"/>
    <x v="821"/>
  </r>
  <r>
    <s v="ORD0823"/>
    <x v="21"/>
    <x v="0"/>
    <x v="3"/>
    <x v="8"/>
    <n v="3"/>
    <n v="128.28"/>
    <n v="384.84"/>
    <n v="15"/>
    <x v="822"/>
  </r>
  <r>
    <s v="ORD0824"/>
    <x v="129"/>
    <x v="1"/>
    <x v="3"/>
    <x v="2"/>
    <n v="3"/>
    <n v="336.75"/>
    <n v="1010.25"/>
    <n v="0"/>
    <x v="823"/>
  </r>
  <r>
    <s v="ORD0825"/>
    <x v="110"/>
    <x v="2"/>
    <x v="9"/>
    <x v="9"/>
    <n v="17"/>
    <n v="629.05999999999995"/>
    <n v="10694.02"/>
    <n v="15"/>
    <x v="824"/>
  </r>
  <r>
    <s v="ORD0826"/>
    <x v="91"/>
    <x v="1"/>
    <x v="3"/>
    <x v="6"/>
    <n v="16"/>
    <n v="620.66999999999996"/>
    <n v="9930.7199999999993"/>
    <n v="15"/>
    <x v="825"/>
  </r>
  <r>
    <s v="ORD0827"/>
    <x v="247"/>
    <x v="3"/>
    <x v="9"/>
    <x v="5"/>
    <n v="7"/>
    <n v="55.67"/>
    <n v="389.69"/>
    <n v="10"/>
    <x v="826"/>
  </r>
  <r>
    <s v="ORD0828"/>
    <x v="202"/>
    <x v="3"/>
    <x v="8"/>
    <x v="7"/>
    <n v="2"/>
    <n v="237.17"/>
    <n v="474.34"/>
    <n v="0"/>
    <x v="827"/>
  </r>
  <r>
    <s v="ORD0829"/>
    <x v="247"/>
    <x v="3"/>
    <x v="4"/>
    <x v="5"/>
    <n v="10"/>
    <n v="518.76"/>
    <n v="5187.6000000000004"/>
    <n v="10"/>
    <x v="828"/>
  </r>
  <r>
    <s v="ORD0830"/>
    <x v="131"/>
    <x v="2"/>
    <x v="7"/>
    <x v="7"/>
    <n v="17"/>
    <n v="433.85"/>
    <n v="7375.45"/>
    <n v="20"/>
    <x v="829"/>
  </r>
  <r>
    <s v="ORD0831"/>
    <x v="157"/>
    <x v="3"/>
    <x v="5"/>
    <x v="2"/>
    <n v="14"/>
    <n v="559.29999999999995"/>
    <n v="7830.2"/>
    <n v="20"/>
    <x v="830"/>
  </r>
  <r>
    <s v="ORD0832"/>
    <x v="152"/>
    <x v="0"/>
    <x v="1"/>
    <x v="8"/>
    <n v="8"/>
    <n v="222.73"/>
    <n v="1781.84"/>
    <n v="15"/>
    <x v="831"/>
  </r>
  <r>
    <s v="ORD0833"/>
    <x v="104"/>
    <x v="0"/>
    <x v="9"/>
    <x v="7"/>
    <n v="16"/>
    <n v="152.91"/>
    <n v="2446.56"/>
    <n v="20"/>
    <x v="832"/>
  </r>
  <r>
    <s v="ORD0834"/>
    <x v="317"/>
    <x v="1"/>
    <x v="6"/>
    <x v="6"/>
    <n v="7"/>
    <n v="374.89"/>
    <n v="2624.23"/>
    <n v="5"/>
    <x v="833"/>
  </r>
  <r>
    <s v="ORD0835"/>
    <x v="41"/>
    <x v="2"/>
    <x v="5"/>
    <x v="4"/>
    <n v="11"/>
    <n v="298.10000000000002"/>
    <n v="3279.1"/>
    <n v="10"/>
    <x v="834"/>
  </r>
  <r>
    <s v="ORD0836"/>
    <x v="113"/>
    <x v="2"/>
    <x v="0"/>
    <x v="6"/>
    <n v="14"/>
    <n v="579.39"/>
    <n v="8111.46"/>
    <n v="0"/>
    <x v="835"/>
  </r>
  <r>
    <s v="ORD0837"/>
    <x v="240"/>
    <x v="1"/>
    <x v="8"/>
    <x v="4"/>
    <n v="19"/>
    <n v="814.06"/>
    <n v="15467.14"/>
    <n v="10"/>
    <x v="836"/>
  </r>
  <r>
    <s v="ORD0838"/>
    <x v="328"/>
    <x v="3"/>
    <x v="8"/>
    <x v="6"/>
    <n v="1"/>
    <n v="520.36"/>
    <n v="520.36"/>
    <n v="5"/>
    <x v="837"/>
  </r>
  <r>
    <s v="ORD0839"/>
    <x v="120"/>
    <x v="3"/>
    <x v="8"/>
    <x v="2"/>
    <n v="20"/>
    <n v="939.74"/>
    <n v="18794.8"/>
    <n v="15"/>
    <x v="838"/>
  </r>
  <r>
    <s v="ORD0840"/>
    <x v="128"/>
    <x v="3"/>
    <x v="7"/>
    <x v="0"/>
    <n v="19"/>
    <n v="112.93"/>
    <n v="2145.67"/>
    <n v="0"/>
    <x v="839"/>
  </r>
  <r>
    <s v="ORD0841"/>
    <x v="144"/>
    <x v="3"/>
    <x v="3"/>
    <x v="1"/>
    <n v="7"/>
    <n v="885.04"/>
    <n v="6195.28"/>
    <n v="0"/>
    <x v="840"/>
  </r>
  <r>
    <s v="ORD0842"/>
    <x v="79"/>
    <x v="3"/>
    <x v="0"/>
    <x v="6"/>
    <n v="11"/>
    <n v="277.32"/>
    <n v="3050.52"/>
    <n v="0"/>
    <x v="841"/>
  </r>
  <r>
    <s v="ORD0843"/>
    <x v="329"/>
    <x v="3"/>
    <x v="6"/>
    <x v="5"/>
    <n v="17"/>
    <n v="613.15"/>
    <n v="10423.549999999999"/>
    <n v="20"/>
    <x v="842"/>
  </r>
  <r>
    <s v="ORD0844"/>
    <x v="195"/>
    <x v="3"/>
    <x v="9"/>
    <x v="2"/>
    <n v="16"/>
    <n v="471.16"/>
    <n v="7538.56"/>
    <n v="0"/>
    <x v="843"/>
  </r>
  <r>
    <s v="ORD0845"/>
    <x v="148"/>
    <x v="3"/>
    <x v="3"/>
    <x v="3"/>
    <n v="14"/>
    <n v="970.01"/>
    <n v="13580.14"/>
    <n v="15"/>
    <x v="844"/>
  </r>
  <r>
    <s v="ORD0846"/>
    <x v="208"/>
    <x v="2"/>
    <x v="0"/>
    <x v="1"/>
    <n v="12"/>
    <n v="301.16000000000003"/>
    <n v="3613.92"/>
    <n v="5"/>
    <x v="845"/>
  </r>
  <r>
    <s v="ORD0847"/>
    <x v="183"/>
    <x v="1"/>
    <x v="8"/>
    <x v="9"/>
    <n v="7"/>
    <n v="288.01"/>
    <n v="2016.07"/>
    <n v="0"/>
    <x v="846"/>
  </r>
  <r>
    <s v="ORD0848"/>
    <x v="38"/>
    <x v="0"/>
    <x v="8"/>
    <x v="5"/>
    <n v="4"/>
    <n v="156.79"/>
    <n v="627.16"/>
    <n v="20"/>
    <x v="847"/>
  </r>
  <r>
    <s v="ORD0849"/>
    <x v="82"/>
    <x v="0"/>
    <x v="2"/>
    <x v="9"/>
    <n v="13"/>
    <n v="802.63"/>
    <n v="10434.19"/>
    <n v="20"/>
    <x v="848"/>
  </r>
  <r>
    <s v="ORD0850"/>
    <x v="100"/>
    <x v="1"/>
    <x v="0"/>
    <x v="3"/>
    <n v="1"/>
    <n v="220.02"/>
    <n v="220.02"/>
    <n v="10"/>
    <x v="849"/>
  </r>
  <r>
    <s v="ORD0851"/>
    <x v="86"/>
    <x v="0"/>
    <x v="9"/>
    <x v="8"/>
    <n v="12"/>
    <n v="942.47"/>
    <n v="11309.64"/>
    <n v="20"/>
    <x v="850"/>
  </r>
  <r>
    <s v="ORD0852"/>
    <x v="204"/>
    <x v="3"/>
    <x v="5"/>
    <x v="3"/>
    <n v="17"/>
    <n v="644.29999999999995"/>
    <n v="10953.1"/>
    <n v="0"/>
    <x v="851"/>
  </r>
  <r>
    <s v="ORD0853"/>
    <x v="330"/>
    <x v="0"/>
    <x v="6"/>
    <x v="1"/>
    <n v="4"/>
    <n v="420.59"/>
    <n v="1682.36"/>
    <n v="0"/>
    <x v="852"/>
  </r>
  <r>
    <s v="ORD0854"/>
    <x v="240"/>
    <x v="1"/>
    <x v="5"/>
    <x v="3"/>
    <n v="15"/>
    <n v="599.02"/>
    <n v="8985.2999999999993"/>
    <n v="5"/>
    <x v="853"/>
  </r>
  <r>
    <s v="ORD0855"/>
    <x v="111"/>
    <x v="1"/>
    <x v="7"/>
    <x v="6"/>
    <n v="7"/>
    <n v="227.59"/>
    <n v="1593.13"/>
    <n v="10"/>
    <x v="854"/>
  </r>
  <r>
    <s v="ORD0856"/>
    <x v="249"/>
    <x v="1"/>
    <x v="7"/>
    <x v="3"/>
    <n v="16"/>
    <n v="722.82"/>
    <n v="11565.12"/>
    <n v="10"/>
    <x v="855"/>
  </r>
  <r>
    <s v="ORD0857"/>
    <x v="119"/>
    <x v="1"/>
    <x v="9"/>
    <x v="0"/>
    <n v="11"/>
    <n v="845.56"/>
    <n v="9301.16"/>
    <n v="5"/>
    <x v="856"/>
  </r>
  <r>
    <s v="ORD0858"/>
    <x v="328"/>
    <x v="1"/>
    <x v="4"/>
    <x v="2"/>
    <n v="7"/>
    <n v="505.96"/>
    <n v="3541.72"/>
    <n v="20"/>
    <x v="857"/>
  </r>
  <r>
    <s v="ORD0859"/>
    <x v="258"/>
    <x v="0"/>
    <x v="7"/>
    <x v="6"/>
    <n v="14"/>
    <n v="845.59"/>
    <n v="11838.26"/>
    <n v="5"/>
    <x v="858"/>
  </r>
  <r>
    <s v="ORD0860"/>
    <x v="283"/>
    <x v="3"/>
    <x v="3"/>
    <x v="1"/>
    <n v="15"/>
    <n v="583.23"/>
    <n v="8748.4500000000007"/>
    <n v="20"/>
    <x v="859"/>
  </r>
  <r>
    <s v="ORD0861"/>
    <x v="204"/>
    <x v="2"/>
    <x v="3"/>
    <x v="0"/>
    <n v="9"/>
    <n v="975.21"/>
    <n v="8776.89"/>
    <n v="20"/>
    <x v="860"/>
  </r>
  <r>
    <s v="ORD0862"/>
    <x v="23"/>
    <x v="1"/>
    <x v="0"/>
    <x v="9"/>
    <n v="14"/>
    <n v="338.45"/>
    <n v="4738.3"/>
    <n v="10"/>
    <x v="861"/>
  </r>
  <r>
    <s v="ORD0863"/>
    <x v="101"/>
    <x v="2"/>
    <x v="4"/>
    <x v="1"/>
    <n v="8"/>
    <n v="407.41"/>
    <n v="3259.28"/>
    <n v="10"/>
    <x v="862"/>
  </r>
  <r>
    <s v="ORD0864"/>
    <x v="17"/>
    <x v="0"/>
    <x v="9"/>
    <x v="1"/>
    <n v="14"/>
    <n v="419.84"/>
    <n v="5877.76"/>
    <n v="0"/>
    <x v="863"/>
  </r>
  <r>
    <s v="ORD0865"/>
    <x v="69"/>
    <x v="3"/>
    <x v="1"/>
    <x v="6"/>
    <n v="5"/>
    <n v="63.96"/>
    <n v="319.8"/>
    <n v="15"/>
    <x v="864"/>
  </r>
  <r>
    <s v="ORD0866"/>
    <x v="205"/>
    <x v="1"/>
    <x v="0"/>
    <x v="3"/>
    <n v="7"/>
    <n v="939.69"/>
    <n v="6577.83"/>
    <n v="15"/>
    <x v="865"/>
  </r>
  <r>
    <s v="ORD0867"/>
    <x v="296"/>
    <x v="2"/>
    <x v="7"/>
    <x v="4"/>
    <n v="17"/>
    <n v="449.92"/>
    <n v="7648.64"/>
    <n v="5"/>
    <x v="866"/>
  </r>
  <r>
    <s v="ORD0868"/>
    <x v="137"/>
    <x v="1"/>
    <x v="1"/>
    <x v="4"/>
    <n v="9"/>
    <n v="309.49"/>
    <n v="2785.41"/>
    <n v="5"/>
    <x v="867"/>
  </r>
  <r>
    <s v="ORD0869"/>
    <x v="325"/>
    <x v="0"/>
    <x v="5"/>
    <x v="3"/>
    <n v="17"/>
    <n v="458.35"/>
    <n v="7791.95"/>
    <n v="10"/>
    <x v="868"/>
  </r>
  <r>
    <s v="ORD0870"/>
    <x v="243"/>
    <x v="3"/>
    <x v="2"/>
    <x v="8"/>
    <n v="19"/>
    <n v="477.77"/>
    <n v="9077.6299999999992"/>
    <n v="20"/>
    <x v="869"/>
  </r>
  <r>
    <s v="ORD0871"/>
    <x v="210"/>
    <x v="2"/>
    <x v="8"/>
    <x v="4"/>
    <n v="13"/>
    <n v="742.76"/>
    <n v="9655.8799999999992"/>
    <n v="10"/>
    <x v="870"/>
  </r>
  <r>
    <s v="ORD0872"/>
    <x v="64"/>
    <x v="3"/>
    <x v="8"/>
    <x v="3"/>
    <n v="16"/>
    <n v="791.66"/>
    <n v="12666.56"/>
    <n v="0"/>
    <x v="871"/>
  </r>
  <r>
    <s v="ORD0873"/>
    <x v="150"/>
    <x v="1"/>
    <x v="7"/>
    <x v="5"/>
    <n v="1"/>
    <n v="940.83"/>
    <n v="940.83"/>
    <n v="5"/>
    <x v="872"/>
  </r>
  <r>
    <s v="ORD0874"/>
    <x v="8"/>
    <x v="0"/>
    <x v="2"/>
    <x v="7"/>
    <n v="4"/>
    <n v="198.49"/>
    <n v="793.96"/>
    <n v="5"/>
    <x v="873"/>
  </r>
  <r>
    <s v="ORD0875"/>
    <x v="164"/>
    <x v="2"/>
    <x v="7"/>
    <x v="0"/>
    <n v="14"/>
    <n v="76.09"/>
    <n v="1065.26"/>
    <n v="0"/>
    <x v="874"/>
  </r>
  <r>
    <s v="ORD0876"/>
    <x v="181"/>
    <x v="0"/>
    <x v="4"/>
    <x v="6"/>
    <n v="7"/>
    <n v="972.23"/>
    <n v="6805.61"/>
    <n v="20"/>
    <x v="875"/>
  </r>
  <r>
    <s v="ORD0877"/>
    <x v="97"/>
    <x v="3"/>
    <x v="6"/>
    <x v="0"/>
    <n v="9"/>
    <n v="812.29"/>
    <n v="7310.61"/>
    <n v="5"/>
    <x v="876"/>
  </r>
  <r>
    <s v="ORD0878"/>
    <x v="15"/>
    <x v="0"/>
    <x v="5"/>
    <x v="8"/>
    <n v="13"/>
    <n v="343.42"/>
    <n v="4464.46"/>
    <n v="5"/>
    <x v="877"/>
  </r>
  <r>
    <s v="ORD0879"/>
    <x v="155"/>
    <x v="1"/>
    <x v="4"/>
    <x v="0"/>
    <n v="4"/>
    <n v="625.42999999999995"/>
    <n v="2501.7199999999998"/>
    <n v="5"/>
    <x v="878"/>
  </r>
  <r>
    <s v="ORD0880"/>
    <x v="28"/>
    <x v="3"/>
    <x v="7"/>
    <x v="4"/>
    <n v="8"/>
    <n v="565.28"/>
    <n v="4522.24"/>
    <n v="20"/>
    <x v="879"/>
  </r>
  <r>
    <s v="ORD0881"/>
    <x v="102"/>
    <x v="3"/>
    <x v="7"/>
    <x v="3"/>
    <n v="10"/>
    <n v="188.63"/>
    <n v="1886.3"/>
    <n v="20"/>
    <x v="880"/>
  </r>
  <r>
    <s v="ORD0882"/>
    <x v="145"/>
    <x v="2"/>
    <x v="7"/>
    <x v="3"/>
    <n v="14"/>
    <n v="160.82"/>
    <n v="2251.48"/>
    <n v="20"/>
    <x v="881"/>
  </r>
  <r>
    <s v="ORD0883"/>
    <x v="204"/>
    <x v="2"/>
    <x v="4"/>
    <x v="7"/>
    <n v="13"/>
    <n v="843.04"/>
    <n v="10959.52"/>
    <n v="5"/>
    <x v="882"/>
  </r>
  <r>
    <s v="ORD0884"/>
    <x v="237"/>
    <x v="3"/>
    <x v="9"/>
    <x v="0"/>
    <n v="14"/>
    <n v="678.92"/>
    <n v="9504.8799999999992"/>
    <n v="10"/>
    <x v="883"/>
  </r>
  <r>
    <s v="ORD0885"/>
    <x v="37"/>
    <x v="0"/>
    <x v="6"/>
    <x v="9"/>
    <n v="6"/>
    <n v="335.44"/>
    <n v="2012.64"/>
    <n v="0"/>
    <x v="884"/>
  </r>
  <r>
    <s v="ORD0886"/>
    <x v="80"/>
    <x v="3"/>
    <x v="8"/>
    <x v="6"/>
    <n v="3"/>
    <n v="906.61"/>
    <n v="2719.83"/>
    <n v="0"/>
    <x v="885"/>
  </r>
  <r>
    <s v="ORD0887"/>
    <x v="315"/>
    <x v="0"/>
    <x v="7"/>
    <x v="4"/>
    <n v="12"/>
    <n v="915.14"/>
    <n v="10981.68"/>
    <n v="5"/>
    <x v="886"/>
  </r>
  <r>
    <s v="ORD0888"/>
    <x v="53"/>
    <x v="0"/>
    <x v="1"/>
    <x v="8"/>
    <n v="5"/>
    <n v="979.21"/>
    <n v="4896.05"/>
    <n v="5"/>
    <x v="887"/>
  </r>
  <r>
    <s v="ORD0889"/>
    <x v="313"/>
    <x v="0"/>
    <x v="0"/>
    <x v="4"/>
    <n v="9"/>
    <n v="613.59"/>
    <n v="5522.31"/>
    <n v="10"/>
    <x v="888"/>
  </r>
  <r>
    <s v="ORD0890"/>
    <x v="321"/>
    <x v="1"/>
    <x v="4"/>
    <x v="8"/>
    <n v="18"/>
    <n v="960.94"/>
    <n v="17296.919999999998"/>
    <n v="20"/>
    <x v="889"/>
  </r>
  <r>
    <s v="ORD0891"/>
    <x v="133"/>
    <x v="1"/>
    <x v="9"/>
    <x v="7"/>
    <n v="9"/>
    <n v="635.97"/>
    <n v="5723.73"/>
    <n v="10"/>
    <x v="890"/>
  </r>
  <r>
    <s v="ORD0892"/>
    <x v="205"/>
    <x v="1"/>
    <x v="8"/>
    <x v="0"/>
    <n v="2"/>
    <n v="735.9"/>
    <n v="1471.8"/>
    <n v="0"/>
    <x v="891"/>
  </r>
  <r>
    <s v="ORD0893"/>
    <x v="7"/>
    <x v="3"/>
    <x v="8"/>
    <x v="2"/>
    <n v="5"/>
    <n v="64.56"/>
    <n v="322.8"/>
    <n v="5"/>
    <x v="892"/>
  </r>
  <r>
    <s v="ORD0894"/>
    <x v="294"/>
    <x v="3"/>
    <x v="9"/>
    <x v="4"/>
    <n v="4"/>
    <n v="832"/>
    <n v="3328"/>
    <n v="20"/>
    <x v="893"/>
  </r>
  <r>
    <s v="ORD0895"/>
    <x v="305"/>
    <x v="3"/>
    <x v="1"/>
    <x v="0"/>
    <n v="18"/>
    <n v="983.79"/>
    <n v="17708.22"/>
    <n v="15"/>
    <x v="894"/>
  </r>
  <r>
    <s v="ORD0896"/>
    <x v="213"/>
    <x v="0"/>
    <x v="9"/>
    <x v="7"/>
    <n v="12"/>
    <n v="997.69"/>
    <n v="11972.28"/>
    <n v="0"/>
    <x v="895"/>
  </r>
  <r>
    <s v="ORD0897"/>
    <x v="29"/>
    <x v="1"/>
    <x v="0"/>
    <x v="5"/>
    <n v="9"/>
    <n v="341.24"/>
    <n v="3071.16"/>
    <n v="0"/>
    <x v="896"/>
  </r>
  <r>
    <s v="ORD0898"/>
    <x v="264"/>
    <x v="0"/>
    <x v="0"/>
    <x v="0"/>
    <n v="7"/>
    <n v="800.34"/>
    <n v="5602.38"/>
    <n v="5"/>
    <x v="897"/>
  </r>
  <r>
    <s v="ORD0899"/>
    <x v="43"/>
    <x v="2"/>
    <x v="7"/>
    <x v="6"/>
    <n v="17"/>
    <n v="379.36"/>
    <n v="6449.12"/>
    <n v="5"/>
    <x v="898"/>
  </r>
  <r>
    <s v="ORD0900"/>
    <x v="202"/>
    <x v="2"/>
    <x v="4"/>
    <x v="7"/>
    <n v="13"/>
    <n v="132.4"/>
    <n v="1721.2"/>
    <n v="0"/>
    <x v="899"/>
  </r>
  <r>
    <s v="ORD0901"/>
    <x v="274"/>
    <x v="1"/>
    <x v="9"/>
    <x v="1"/>
    <n v="16"/>
    <n v="938.58"/>
    <n v="15017.28"/>
    <n v="20"/>
    <x v="900"/>
  </r>
  <r>
    <s v="ORD0902"/>
    <x v="212"/>
    <x v="3"/>
    <x v="1"/>
    <x v="8"/>
    <n v="11"/>
    <n v="467.14"/>
    <n v="5138.54"/>
    <n v="10"/>
    <x v="901"/>
  </r>
  <r>
    <s v="ORD0903"/>
    <x v="212"/>
    <x v="1"/>
    <x v="9"/>
    <x v="5"/>
    <n v="13"/>
    <n v="98.74"/>
    <n v="1283.6199999999999"/>
    <n v="0"/>
    <x v="902"/>
  </r>
  <r>
    <s v="ORD0904"/>
    <x v="113"/>
    <x v="2"/>
    <x v="3"/>
    <x v="2"/>
    <n v="5"/>
    <n v="623.79"/>
    <n v="3118.95"/>
    <n v="0"/>
    <x v="903"/>
  </r>
  <r>
    <s v="ORD0905"/>
    <x v="310"/>
    <x v="2"/>
    <x v="7"/>
    <x v="1"/>
    <n v="17"/>
    <n v="543.30999999999995"/>
    <n v="9236.27"/>
    <n v="5"/>
    <x v="904"/>
  </r>
  <r>
    <s v="ORD0906"/>
    <x v="135"/>
    <x v="1"/>
    <x v="3"/>
    <x v="6"/>
    <n v="2"/>
    <n v="90.17"/>
    <n v="180.34"/>
    <n v="0"/>
    <x v="905"/>
  </r>
  <r>
    <s v="ORD0907"/>
    <x v="10"/>
    <x v="0"/>
    <x v="0"/>
    <x v="8"/>
    <n v="16"/>
    <n v="347.1"/>
    <n v="5553.6"/>
    <n v="0"/>
    <x v="906"/>
  </r>
  <r>
    <s v="ORD0908"/>
    <x v="100"/>
    <x v="0"/>
    <x v="7"/>
    <x v="1"/>
    <n v="12"/>
    <n v="518.75"/>
    <n v="6225"/>
    <n v="10"/>
    <x v="907"/>
  </r>
  <r>
    <s v="ORD0909"/>
    <x v="308"/>
    <x v="1"/>
    <x v="6"/>
    <x v="8"/>
    <n v="19"/>
    <n v="537.30999999999995"/>
    <n v="10208.89"/>
    <n v="20"/>
    <x v="908"/>
  </r>
  <r>
    <s v="ORD0910"/>
    <x v="311"/>
    <x v="1"/>
    <x v="5"/>
    <x v="1"/>
    <n v="5"/>
    <n v="899.26"/>
    <n v="4496.3"/>
    <n v="5"/>
    <x v="909"/>
  </r>
  <r>
    <s v="ORD0911"/>
    <x v="303"/>
    <x v="0"/>
    <x v="5"/>
    <x v="4"/>
    <n v="17"/>
    <n v="457.69"/>
    <n v="7780.73"/>
    <n v="20"/>
    <x v="910"/>
  </r>
  <r>
    <s v="ORD0912"/>
    <x v="141"/>
    <x v="3"/>
    <x v="1"/>
    <x v="9"/>
    <n v="9"/>
    <n v="397.49"/>
    <n v="3577.41"/>
    <n v="15"/>
    <x v="911"/>
  </r>
  <r>
    <s v="ORD0913"/>
    <x v="117"/>
    <x v="1"/>
    <x v="1"/>
    <x v="8"/>
    <n v="18"/>
    <n v="376.12"/>
    <n v="6770.16"/>
    <n v="10"/>
    <x v="912"/>
  </r>
  <r>
    <s v="ORD0914"/>
    <x v="294"/>
    <x v="2"/>
    <x v="0"/>
    <x v="8"/>
    <n v="20"/>
    <n v="287.24"/>
    <n v="5744.8"/>
    <n v="20"/>
    <x v="913"/>
  </r>
  <r>
    <s v="ORD0915"/>
    <x v="31"/>
    <x v="0"/>
    <x v="5"/>
    <x v="3"/>
    <n v="17"/>
    <n v="688.55"/>
    <n v="11705.35"/>
    <n v="5"/>
    <x v="914"/>
  </r>
  <r>
    <s v="ORD0916"/>
    <x v="35"/>
    <x v="0"/>
    <x v="4"/>
    <x v="9"/>
    <n v="13"/>
    <n v="802.9"/>
    <n v="10437.700000000001"/>
    <n v="20"/>
    <x v="915"/>
  </r>
  <r>
    <s v="ORD0917"/>
    <x v="331"/>
    <x v="2"/>
    <x v="8"/>
    <x v="0"/>
    <n v="16"/>
    <n v="538.89"/>
    <n v="8622.24"/>
    <n v="10"/>
    <x v="916"/>
  </r>
  <r>
    <s v="ORD0918"/>
    <x v="141"/>
    <x v="3"/>
    <x v="4"/>
    <x v="4"/>
    <n v="19"/>
    <n v="625.6"/>
    <n v="11886.4"/>
    <n v="5"/>
    <x v="917"/>
  </r>
  <r>
    <s v="ORD0919"/>
    <x v="210"/>
    <x v="2"/>
    <x v="4"/>
    <x v="5"/>
    <n v="15"/>
    <n v="971.94"/>
    <n v="14579.1"/>
    <n v="0"/>
    <x v="918"/>
  </r>
  <r>
    <s v="ORD0920"/>
    <x v="146"/>
    <x v="3"/>
    <x v="7"/>
    <x v="0"/>
    <n v="13"/>
    <n v="203.14"/>
    <n v="2640.82"/>
    <n v="10"/>
    <x v="919"/>
  </r>
  <r>
    <s v="ORD0921"/>
    <x v="332"/>
    <x v="3"/>
    <x v="1"/>
    <x v="7"/>
    <n v="19"/>
    <n v="965.16"/>
    <n v="18338.04"/>
    <n v="20"/>
    <x v="920"/>
  </r>
  <r>
    <s v="ORD0922"/>
    <x v="42"/>
    <x v="1"/>
    <x v="1"/>
    <x v="5"/>
    <n v="14"/>
    <n v="548.69000000000005"/>
    <n v="7681.66"/>
    <n v="20"/>
    <x v="921"/>
  </r>
  <r>
    <s v="ORD0923"/>
    <x v="333"/>
    <x v="1"/>
    <x v="3"/>
    <x v="4"/>
    <n v="15"/>
    <n v="777.15"/>
    <n v="11657.25"/>
    <n v="20"/>
    <x v="922"/>
  </r>
  <r>
    <s v="ORD0924"/>
    <x v="55"/>
    <x v="1"/>
    <x v="9"/>
    <x v="1"/>
    <n v="17"/>
    <n v="252.38"/>
    <n v="4290.46"/>
    <n v="0"/>
    <x v="923"/>
  </r>
  <r>
    <s v="ORD0925"/>
    <x v="192"/>
    <x v="1"/>
    <x v="9"/>
    <x v="5"/>
    <n v="5"/>
    <n v="531.86"/>
    <n v="2659.3"/>
    <n v="20"/>
    <x v="924"/>
  </r>
  <r>
    <s v="ORD0926"/>
    <x v="47"/>
    <x v="3"/>
    <x v="6"/>
    <x v="2"/>
    <n v="19"/>
    <n v="500.96"/>
    <n v="9518.24"/>
    <n v="10"/>
    <x v="925"/>
  </r>
  <r>
    <s v="ORD0927"/>
    <x v="134"/>
    <x v="1"/>
    <x v="3"/>
    <x v="1"/>
    <n v="14"/>
    <n v="828.93"/>
    <n v="11605.02"/>
    <n v="15"/>
    <x v="926"/>
  </r>
  <r>
    <s v="ORD0928"/>
    <x v="140"/>
    <x v="1"/>
    <x v="1"/>
    <x v="2"/>
    <n v="5"/>
    <n v="751.89"/>
    <n v="3759.45"/>
    <n v="0"/>
    <x v="927"/>
  </r>
  <r>
    <s v="ORD0929"/>
    <x v="205"/>
    <x v="2"/>
    <x v="5"/>
    <x v="2"/>
    <n v="3"/>
    <n v="526.16999999999996"/>
    <n v="1578.51"/>
    <n v="15"/>
    <x v="928"/>
  </r>
  <r>
    <s v="ORD0930"/>
    <x v="61"/>
    <x v="1"/>
    <x v="1"/>
    <x v="6"/>
    <n v="12"/>
    <n v="310.74"/>
    <n v="3728.88"/>
    <n v="5"/>
    <x v="929"/>
  </r>
  <r>
    <s v="ORD0931"/>
    <x v="199"/>
    <x v="3"/>
    <x v="4"/>
    <x v="3"/>
    <n v="17"/>
    <n v="249.71"/>
    <n v="4245.07"/>
    <n v="10"/>
    <x v="930"/>
  </r>
  <r>
    <s v="ORD0932"/>
    <x v="199"/>
    <x v="1"/>
    <x v="7"/>
    <x v="4"/>
    <n v="4"/>
    <n v="720.53"/>
    <n v="2882.12"/>
    <n v="10"/>
    <x v="931"/>
  </r>
  <r>
    <s v="ORD0933"/>
    <x v="58"/>
    <x v="1"/>
    <x v="2"/>
    <x v="5"/>
    <n v="2"/>
    <n v="293.70999999999998"/>
    <n v="587.41999999999996"/>
    <n v="10"/>
    <x v="932"/>
  </r>
  <r>
    <s v="ORD0934"/>
    <x v="148"/>
    <x v="3"/>
    <x v="1"/>
    <x v="8"/>
    <n v="18"/>
    <n v="420.78"/>
    <n v="7574.04"/>
    <n v="15"/>
    <x v="933"/>
  </r>
  <r>
    <s v="ORD0935"/>
    <x v="123"/>
    <x v="3"/>
    <x v="4"/>
    <x v="2"/>
    <n v="6"/>
    <n v="597.39"/>
    <n v="3584.34"/>
    <n v="5"/>
    <x v="934"/>
  </r>
  <r>
    <s v="ORD0936"/>
    <x v="119"/>
    <x v="0"/>
    <x v="5"/>
    <x v="8"/>
    <n v="10"/>
    <n v="913.64"/>
    <n v="9136.4"/>
    <n v="20"/>
    <x v="935"/>
  </r>
  <r>
    <s v="ORD0937"/>
    <x v="304"/>
    <x v="1"/>
    <x v="4"/>
    <x v="8"/>
    <n v="4"/>
    <n v="189.26"/>
    <n v="757.04"/>
    <n v="15"/>
    <x v="936"/>
  </r>
  <r>
    <s v="ORD0938"/>
    <x v="237"/>
    <x v="1"/>
    <x v="2"/>
    <x v="6"/>
    <n v="13"/>
    <n v="159.74"/>
    <n v="2076.62"/>
    <n v="0"/>
    <x v="937"/>
  </r>
  <r>
    <s v="ORD0939"/>
    <x v="334"/>
    <x v="0"/>
    <x v="4"/>
    <x v="3"/>
    <n v="14"/>
    <n v="576.35"/>
    <n v="8068.9"/>
    <n v="15"/>
    <x v="938"/>
  </r>
  <r>
    <s v="ORD0940"/>
    <x v="299"/>
    <x v="2"/>
    <x v="3"/>
    <x v="2"/>
    <n v="20"/>
    <n v="77.87"/>
    <n v="1557.4"/>
    <n v="15"/>
    <x v="939"/>
  </r>
  <r>
    <s v="ORD0941"/>
    <x v="335"/>
    <x v="1"/>
    <x v="1"/>
    <x v="8"/>
    <n v="9"/>
    <n v="222.23"/>
    <n v="2000.07"/>
    <n v="20"/>
    <x v="940"/>
  </r>
  <r>
    <s v="ORD0942"/>
    <x v="32"/>
    <x v="2"/>
    <x v="2"/>
    <x v="6"/>
    <n v="9"/>
    <n v="247.44"/>
    <n v="2226.96"/>
    <n v="10"/>
    <x v="941"/>
  </r>
  <r>
    <s v="ORD0943"/>
    <x v="318"/>
    <x v="2"/>
    <x v="8"/>
    <x v="1"/>
    <n v="16"/>
    <n v="584.75"/>
    <n v="9356"/>
    <n v="10"/>
    <x v="942"/>
  </r>
  <r>
    <s v="ORD0944"/>
    <x v="12"/>
    <x v="1"/>
    <x v="2"/>
    <x v="7"/>
    <n v="18"/>
    <n v="76"/>
    <n v="1368"/>
    <n v="10"/>
    <x v="943"/>
  </r>
  <r>
    <s v="ORD0945"/>
    <x v="281"/>
    <x v="1"/>
    <x v="2"/>
    <x v="6"/>
    <n v="9"/>
    <n v="299.89999999999998"/>
    <n v="2699.1"/>
    <n v="15"/>
    <x v="944"/>
  </r>
  <r>
    <s v="ORD0946"/>
    <x v="93"/>
    <x v="2"/>
    <x v="3"/>
    <x v="7"/>
    <n v="2"/>
    <n v="430.74"/>
    <n v="861.48"/>
    <n v="10"/>
    <x v="945"/>
  </r>
  <r>
    <s v="ORD0947"/>
    <x v="318"/>
    <x v="0"/>
    <x v="5"/>
    <x v="2"/>
    <n v="20"/>
    <n v="309.62"/>
    <n v="6192.4"/>
    <n v="0"/>
    <x v="946"/>
  </r>
  <r>
    <s v="ORD0948"/>
    <x v="336"/>
    <x v="0"/>
    <x v="6"/>
    <x v="9"/>
    <n v="13"/>
    <n v="948.22"/>
    <n v="12326.86"/>
    <n v="0"/>
    <x v="947"/>
  </r>
  <r>
    <s v="ORD0949"/>
    <x v="307"/>
    <x v="3"/>
    <x v="7"/>
    <x v="0"/>
    <n v="17"/>
    <n v="229.71"/>
    <n v="3905.07"/>
    <n v="5"/>
    <x v="948"/>
  </r>
  <r>
    <s v="ORD0950"/>
    <x v="241"/>
    <x v="2"/>
    <x v="2"/>
    <x v="3"/>
    <n v="1"/>
    <n v="338.91"/>
    <n v="338.91"/>
    <n v="10"/>
    <x v="949"/>
  </r>
  <r>
    <s v="ORD0951"/>
    <x v="334"/>
    <x v="2"/>
    <x v="5"/>
    <x v="5"/>
    <n v="9"/>
    <n v="393.31"/>
    <n v="3539.79"/>
    <n v="10"/>
    <x v="950"/>
  </r>
  <r>
    <s v="ORD0952"/>
    <x v="229"/>
    <x v="2"/>
    <x v="4"/>
    <x v="9"/>
    <n v="9"/>
    <n v="226.98"/>
    <n v="2042.82"/>
    <n v="20"/>
    <x v="951"/>
  </r>
  <r>
    <s v="ORD0953"/>
    <x v="231"/>
    <x v="3"/>
    <x v="0"/>
    <x v="2"/>
    <n v="13"/>
    <n v="233.78"/>
    <n v="3039.14"/>
    <n v="10"/>
    <x v="952"/>
  </r>
  <r>
    <s v="ORD0954"/>
    <x v="69"/>
    <x v="3"/>
    <x v="1"/>
    <x v="1"/>
    <n v="11"/>
    <n v="276.83"/>
    <n v="3045.13"/>
    <n v="10"/>
    <x v="953"/>
  </r>
  <r>
    <s v="ORD0955"/>
    <x v="176"/>
    <x v="2"/>
    <x v="2"/>
    <x v="8"/>
    <n v="9"/>
    <n v="934.68"/>
    <n v="8412.1200000000008"/>
    <n v="5"/>
    <x v="954"/>
  </r>
  <r>
    <s v="ORD0956"/>
    <x v="337"/>
    <x v="2"/>
    <x v="1"/>
    <x v="8"/>
    <n v="15"/>
    <n v="693.6"/>
    <n v="10404"/>
    <n v="10"/>
    <x v="955"/>
  </r>
  <r>
    <s v="ORD0957"/>
    <x v="293"/>
    <x v="0"/>
    <x v="1"/>
    <x v="5"/>
    <n v="10"/>
    <n v="480.11"/>
    <n v="4801.1000000000004"/>
    <n v="20"/>
    <x v="956"/>
  </r>
  <r>
    <s v="ORD0958"/>
    <x v="172"/>
    <x v="1"/>
    <x v="4"/>
    <x v="4"/>
    <n v="16"/>
    <n v="788.05"/>
    <n v="12608.8"/>
    <n v="5"/>
    <x v="957"/>
  </r>
  <r>
    <s v="ORD0959"/>
    <x v="196"/>
    <x v="1"/>
    <x v="6"/>
    <x v="8"/>
    <n v="5"/>
    <n v="405.39"/>
    <n v="2026.95"/>
    <n v="10"/>
    <x v="958"/>
  </r>
  <r>
    <s v="ORD0960"/>
    <x v="279"/>
    <x v="2"/>
    <x v="5"/>
    <x v="6"/>
    <n v="16"/>
    <n v="333.05"/>
    <n v="5328.8"/>
    <n v="15"/>
    <x v="959"/>
  </r>
  <r>
    <s v="ORD0961"/>
    <x v="170"/>
    <x v="1"/>
    <x v="2"/>
    <x v="2"/>
    <n v="17"/>
    <n v="820.91"/>
    <n v="13955.47"/>
    <n v="15"/>
    <x v="960"/>
  </r>
  <r>
    <s v="ORD0962"/>
    <x v="274"/>
    <x v="2"/>
    <x v="5"/>
    <x v="7"/>
    <n v="12"/>
    <n v="998.59"/>
    <n v="11983.08"/>
    <n v="15"/>
    <x v="961"/>
  </r>
  <r>
    <s v="ORD0963"/>
    <x v="36"/>
    <x v="2"/>
    <x v="0"/>
    <x v="9"/>
    <n v="15"/>
    <n v="891.36"/>
    <n v="13370.4"/>
    <n v="10"/>
    <x v="962"/>
  </r>
  <r>
    <s v="ORD0964"/>
    <x v="51"/>
    <x v="1"/>
    <x v="7"/>
    <x v="0"/>
    <n v="1"/>
    <n v="568.33000000000004"/>
    <n v="568.33000000000004"/>
    <n v="0"/>
    <x v="963"/>
  </r>
  <r>
    <s v="ORD0965"/>
    <x v="56"/>
    <x v="0"/>
    <x v="6"/>
    <x v="7"/>
    <n v="7"/>
    <n v="366.31"/>
    <n v="2564.17"/>
    <n v="5"/>
    <x v="964"/>
  </r>
  <r>
    <s v="ORD0966"/>
    <x v="42"/>
    <x v="1"/>
    <x v="6"/>
    <x v="6"/>
    <n v="10"/>
    <n v="768.53"/>
    <n v="7685.3"/>
    <n v="5"/>
    <x v="965"/>
  </r>
  <r>
    <s v="ORD0967"/>
    <x v="89"/>
    <x v="2"/>
    <x v="6"/>
    <x v="1"/>
    <n v="19"/>
    <n v="165.74"/>
    <n v="3149.06"/>
    <n v="5"/>
    <x v="966"/>
  </r>
  <r>
    <s v="ORD0968"/>
    <x v="155"/>
    <x v="2"/>
    <x v="1"/>
    <x v="3"/>
    <n v="16"/>
    <n v="450.4"/>
    <n v="7206.4"/>
    <n v="0"/>
    <x v="967"/>
  </r>
  <r>
    <s v="ORD0969"/>
    <x v="92"/>
    <x v="1"/>
    <x v="5"/>
    <x v="4"/>
    <n v="10"/>
    <n v="881.06"/>
    <n v="8810.6"/>
    <n v="20"/>
    <x v="968"/>
  </r>
  <r>
    <s v="ORD0970"/>
    <x v="197"/>
    <x v="1"/>
    <x v="5"/>
    <x v="9"/>
    <n v="17"/>
    <n v="356.83"/>
    <n v="6066.11"/>
    <n v="15"/>
    <x v="969"/>
  </r>
  <r>
    <s v="ORD0971"/>
    <x v="235"/>
    <x v="1"/>
    <x v="0"/>
    <x v="5"/>
    <n v="6"/>
    <n v="913.58"/>
    <n v="5481.48"/>
    <n v="10"/>
    <x v="970"/>
  </r>
  <r>
    <s v="ORD0972"/>
    <x v="143"/>
    <x v="0"/>
    <x v="8"/>
    <x v="5"/>
    <n v="10"/>
    <n v="335.77"/>
    <n v="3357.7"/>
    <n v="20"/>
    <x v="971"/>
  </r>
  <r>
    <s v="ORD0973"/>
    <x v="338"/>
    <x v="2"/>
    <x v="4"/>
    <x v="8"/>
    <n v="12"/>
    <n v="489.29"/>
    <n v="5871.48"/>
    <n v="10"/>
    <x v="972"/>
  </r>
  <r>
    <s v="ORD0974"/>
    <x v="2"/>
    <x v="1"/>
    <x v="1"/>
    <x v="3"/>
    <n v="18"/>
    <n v="287.54000000000002"/>
    <n v="5175.72"/>
    <n v="10"/>
    <x v="973"/>
  </r>
  <r>
    <s v="ORD0975"/>
    <x v="7"/>
    <x v="0"/>
    <x v="2"/>
    <x v="7"/>
    <n v="8"/>
    <n v="579.63"/>
    <n v="4637.04"/>
    <n v="5"/>
    <x v="974"/>
  </r>
  <r>
    <s v="ORD0976"/>
    <x v="82"/>
    <x v="0"/>
    <x v="5"/>
    <x v="8"/>
    <n v="14"/>
    <n v="315.56"/>
    <n v="4417.84"/>
    <n v="10"/>
    <x v="975"/>
  </r>
  <r>
    <s v="ORD0977"/>
    <x v="81"/>
    <x v="1"/>
    <x v="5"/>
    <x v="8"/>
    <n v="6"/>
    <n v="955.29"/>
    <n v="5731.74"/>
    <n v="20"/>
    <x v="976"/>
  </r>
  <r>
    <s v="ORD0978"/>
    <x v="264"/>
    <x v="2"/>
    <x v="5"/>
    <x v="4"/>
    <n v="12"/>
    <n v="898.29"/>
    <n v="10779.48"/>
    <n v="0"/>
    <x v="977"/>
  </r>
  <r>
    <s v="ORD0979"/>
    <x v="179"/>
    <x v="1"/>
    <x v="7"/>
    <x v="9"/>
    <n v="18"/>
    <n v="944.95"/>
    <n v="17009.099999999999"/>
    <n v="0"/>
    <x v="978"/>
  </r>
  <r>
    <s v="ORD0980"/>
    <x v="124"/>
    <x v="0"/>
    <x v="3"/>
    <x v="9"/>
    <n v="11"/>
    <n v="457.46"/>
    <n v="5032.0600000000004"/>
    <n v="5"/>
    <x v="979"/>
  </r>
  <r>
    <s v="ORD0981"/>
    <x v="246"/>
    <x v="1"/>
    <x v="7"/>
    <x v="8"/>
    <n v="14"/>
    <n v="480.62"/>
    <n v="6728.68"/>
    <n v="10"/>
    <x v="980"/>
  </r>
  <r>
    <s v="ORD0982"/>
    <x v="105"/>
    <x v="1"/>
    <x v="9"/>
    <x v="2"/>
    <n v="20"/>
    <n v="490.17"/>
    <n v="9803.4"/>
    <n v="10"/>
    <x v="981"/>
  </r>
  <r>
    <s v="ORD0983"/>
    <x v="216"/>
    <x v="3"/>
    <x v="8"/>
    <x v="6"/>
    <n v="11"/>
    <n v="429.74"/>
    <n v="4727.1400000000003"/>
    <n v="10"/>
    <x v="982"/>
  </r>
  <r>
    <s v="ORD0984"/>
    <x v="124"/>
    <x v="1"/>
    <x v="3"/>
    <x v="0"/>
    <n v="13"/>
    <n v="872.1"/>
    <n v="11337.3"/>
    <n v="10"/>
    <x v="983"/>
  </r>
  <r>
    <s v="ORD0985"/>
    <x v="284"/>
    <x v="3"/>
    <x v="3"/>
    <x v="9"/>
    <n v="8"/>
    <n v="917.02"/>
    <n v="7336.16"/>
    <n v="0"/>
    <x v="984"/>
  </r>
  <r>
    <s v="ORD0986"/>
    <x v="339"/>
    <x v="1"/>
    <x v="3"/>
    <x v="9"/>
    <n v="18"/>
    <n v="948.09"/>
    <n v="17065.62"/>
    <n v="15"/>
    <x v="985"/>
  </r>
  <r>
    <s v="ORD0987"/>
    <x v="93"/>
    <x v="1"/>
    <x v="6"/>
    <x v="5"/>
    <n v="12"/>
    <n v="414.95"/>
    <n v="4979.3999999999996"/>
    <n v="0"/>
    <x v="986"/>
  </r>
  <r>
    <s v="ORD0988"/>
    <x v="18"/>
    <x v="2"/>
    <x v="5"/>
    <x v="7"/>
    <n v="17"/>
    <n v="373.16"/>
    <n v="6343.72"/>
    <n v="10"/>
    <x v="987"/>
  </r>
  <r>
    <s v="ORD0989"/>
    <x v="172"/>
    <x v="2"/>
    <x v="5"/>
    <x v="7"/>
    <n v="17"/>
    <n v="962.34"/>
    <n v="16359.78"/>
    <n v="15"/>
    <x v="988"/>
  </r>
  <r>
    <s v="ORD0990"/>
    <x v="213"/>
    <x v="1"/>
    <x v="6"/>
    <x v="8"/>
    <n v="5"/>
    <n v="537.70000000000005"/>
    <n v="2688.5"/>
    <n v="20"/>
    <x v="989"/>
  </r>
  <r>
    <s v="ORD0991"/>
    <x v="265"/>
    <x v="3"/>
    <x v="8"/>
    <x v="1"/>
    <n v="15"/>
    <n v="374.01"/>
    <n v="5610.15"/>
    <n v="15"/>
    <x v="990"/>
  </r>
  <r>
    <s v="ORD0992"/>
    <x v="276"/>
    <x v="1"/>
    <x v="3"/>
    <x v="7"/>
    <n v="7"/>
    <n v="343.63"/>
    <n v="2405.41"/>
    <n v="5"/>
    <x v="991"/>
  </r>
  <r>
    <s v="ORD0993"/>
    <x v="148"/>
    <x v="0"/>
    <x v="0"/>
    <x v="5"/>
    <n v="13"/>
    <n v="70.430000000000007"/>
    <n v="915.59"/>
    <n v="20"/>
    <x v="992"/>
  </r>
  <r>
    <s v="ORD0994"/>
    <x v="274"/>
    <x v="1"/>
    <x v="1"/>
    <x v="5"/>
    <n v="15"/>
    <n v="605.64"/>
    <n v="9084.6"/>
    <n v="5"/>
    <x v="993"/>
  </r>
  <r>
    <s v="ORD0995"/>
    <x v="162"/>
    <x v="0"/>
    <x v="8"/>
    <x v="8"/>
    <n v="20"/>
    <n v="290.60000000000002"/>
    <n v="5812"/>
    <n v="10"/>
    <x v="994"/>
  </r>
  <r>
    <s v="ORD0996"/>
    <x v="163"/>
    <x v="1"/>
    <x v="5"/>
    <x v="5"/>
    <n v="5"/>
    <n v="154.43"/>
    <n v="772.15"/>
    <n v="15"/>
    <x v="995"/>
  </r>
  <r>
    <s v="ORD0997"/>
    <x v="241"/>
    <x v="1"/>
    <x v="7"/>
    <x v="9"/>
    <n v="11"/>
    <n v="81.12"/>
    <n v="892.32"/>
    <n v="10"/>
    <x v="996"/>
  </r>
  <r>
    <s v="ORD0998"/>
    <x v="74"/>
    <x v="0"/>
    <x v="8"/>
    <x v="9"/>
    <n v="8"/>
    <n v="462.85"/>
    <n v="3702.8"/>
    <n v="10"/>
    <x v="997"/>
  </r>
  <r>
    <s v="ORD0999"/>
    <x v="187"/>
    <x v="1"/>
    <x v="8"/>
    <x v="1"/>
    <n v="1"/>
    <n v="831.51"/>
    <n v="831.51"/>
    <n v="5"/>
    <x v="998"/>
  </r>
  <r>
    <s v="ORD1000"/>
    <x v="302"/>
    <x v="2"/>
    <x v="3"/>
    <x v="5"/>
    <n v="17"/>
    <n v="604.62"/>
    <n v="10278.540000000001"/>
    <n v="10"/>
    <x v="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15:J31" firstHeaderRow="1" firstDataRow="1" firstDataCol="1"/>
  <pivotFields count="11">
    <pivotField showAll="0"/>
    <pivotField axis="axisRow" numFmtId="14" showAll="0">
      <items count="15">
        <item x="0"/>
        <item x="1"/>
        <item x="2"/>
        <item x="3"/>
        <item x="4"/>
        <item x="5"/>
        <item x="6"/>
        <item x="7"/>
        <item x="8"/>
        <item x="9"/>
        <item x="10"/>
        <item x="11"/>
        <item x="12"/>
        <item x="13"/>
        <item t="default"/>
      </items>
    </pivotField>
    <pivotField showAll="0">
      <items count="5">
        <item x="3"/>
        <item x="2"/>
        <item x="1"/>
        <item x="0"/>
        <item t="default"/>
      </items>
    </pivotField>
    <pivotField showAll="0">
      <items count="11">
        <item x="9"/>
        <item x="1"/>
        <item x="6"/>
        <item x="7"/>
        <item x="5"/>
        <item x="0"/>
        <item x="3"/>
        <item x="8"/>
        <item x="2"/>
        <item x="4"/>
        <item t="default"/>
      </items>
    </pivotField>
    <pivotField showAll="0">
      <items count="11">
        <item x="6"/>
        <item x="9"/>
        <item x="2"/>
        <item x="8"/>
        <item x="5"/>
        <item x="1"/>
        <item x="0"/>
        <item x="3"/>
        <item x="7"/>
        <item x="4"/>
        <item t="default"/>
      </items>
    </pivotField>
    <pivotField showAll="0"/>
    <pivotField showAll="0"/>
    <pivotField showAll="0"/>
    <pivotField showAll="0"/>
    <pivotField dataField="1" showAll="0"/>
    <pivotField axis="axisRow" showAll="0" defaultSubtotal="0">
      <items count="4">
        <item x="0"/>
        <item x="1"/>
        <item x="2"/>
        <item x="3"/>
      </items>
    </pivotField>
  </pivotFields>
  <rowFields count="2">
    <field x="10"/>
    <field x="1"/>
  </rowFields>
  <rowItems count="16">
    <i>
      <x v="1"/>
    </i>
    <i r="1">
      <x v="5"/>
    </i>
    <i r="1">
      <x v="6"/>
    </i>
    <i r="1">
      <x v="7"/>
    </i>
    <i r="1">
      <x v="8"/>
    </i>
    <i r="1">
      <x v="9"/>
    </i>
    <i r="1">
      <x v="10"/>
    </i>
    <i r="1">
      <x v="11"/>
    </i>
    <i r="1">
      <x v="12"/>
    </i>
    <i>
      <x v="2"/>
    </i>
    <i r="1">
      <x v="1"/>
    </i>
    <i r="1">
      <x v="2"/>
    </i>
    <i r="1">
      <x v="3"/>
    </i>
    <i r="1">
      <x v="4"/>
    </i>
    <i r="1">
      <x v="5"/>
    </i>
    <i t="grand">
      <x/>
    </i>
  </rowItems>
  <colItems count="1">
    <i/>
  </colItems>
  <dataFields count="1">
    <dataField name="Sum of Net_Sales" fld="9" baseField="0" baseItem="0" numFmtId="165"/>
  </dataFields>
  <formats count="2">
    <format dxfId="2">
      <pivotArea outline="0" collapsedLevelsAreSubtotals="1" fieldPosition="0"/>
    </format>
    <format dxfId="1">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4:J10" firstHeaderRow="1" firstDataRow="1" firstDataCol="1"/>
  <pivotFields count="11">
    <pivotField showAll="0"/>
    <pivotField numFmtId="14" showAll="0">
      <items count="15">
        <item x="0"/>
        <item x="1"/>
        <item x="2"/>
        <item x="3"/>
        <item x="4"/>
        <item x="5"/>
        <item x="6"/>
        <item x="7"/>
        <item x="8"/>
        <item x="9"/>
        <item x="10"/>
        <item x="11"/>
        <item x="12"/>
        <item x="13"/>
        <item t="default"/>
      </items>
    </pivotField>
    <pivotField showAll="0">
      <items count="5">
        <item x="3"/>
        <item x="2"/>
        <item x="1"/>
        <item x="0"/>
        <item t="default"/>
      </items>
    </pivotField>
    <pivotField axis="axisRow" showAll="0" measureFilter="1">
      <items count="11">
        <item x="9"/>
        <item x="1"/>
        <item x="6"/>
        <item x="7"/>
        <item x="5"/>
        <item x="0"/>
        <item x="3"/>
        <item x="8"/>
        <item x="2"/>
        <item x="4"/>
        <item t="default"/>
      </items>
    </pivotField>
    <pivotField showAll="0">
      <items count="11">
        <item x="6"/>
        <item x="9"/>
        <item x="2"/>
        <item x="8"/>
        <item x="5"/>
        <item x="1"/>
        <item x="0"/>
        <item x="3"/>
        <item x="7"/>
        <item x="4"/>
        <item t="default"/>
      </items>
    </pivotField>
    <pivotField showAll="0"/>
    <pivotField showAll="0"/>
    <pivotField showAll="0"/>
    <pivotField showAll="0"/>
    <pivotField dataField="1" showAll="0"/>
    <pivotField showAll="0" defaultSubtotal="0">
      <items count="4">
        <item x="0"/>
        <item x="1"/>
        <item x="2"/>
        <item x="3"/>
      </items>
    </pivotField>
  </pivotFields>
  <rowFields count="1">
    <field x="3"/>
  </rowFields>
  <rowItems count="6">
    <i>
      <x v="3"/>
    </i>
    <i>
      <x v="4"/>
    </i>
    <i>
      <x v="5"/>
    </i>
    <i>
      <x v="6"/>
    </i>
    <i>
      <x v="9"/>
    </i>
    <i t="grand">
      <x/>
    </i>
  </rowItems>
  <colItems count="1">
    <i/>
  </colItems>
  <dataFields count="1">
    <dataField name="Sum of Net_Sales" fld="9" baseField="0" baseItem="0" numFmtId="165"/>
  </dataFields>
  <formats count="3">
    <format dxfId="5">
      <pivotArea outline="0" collapsedLevelsAreSubtotals="1" fieldPosition="0"/>
    </format>
    <format dxfId="4">
      <pivotArea outline="0" collapsedLevelsAreSubtotals="1" fieldPosition="0"/>
    </format>
    <format dxfId="3">
      <pivotArea dataOnly="0" grandRow="1" fieldPosition="0"/>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4:F16" firstHeaderRow="1" firstDataRow="2" firstDataCol="1"/>
  <pivotFields count="11">
    <pivotField showAll="0"/>
    <pivotField numFmtId="14" showAll="0">
      <items count="15">
        <item x="0"/>
        <item x="1"/>
        <item x="2"/>
        <item x="3"/>
        <item x="4"/>
        <item x="5"/>
        <item x="6"/>
        <item x="7"/>
        <item x="8"/>
        <item x="9"/>
        <item x="10"/>
        <item x="11"/>
        <item x="12"/>
        <item x="13"/>
        <item t="default"/>
      </items>
    </pivotField>
    <pivotField axis="axisCol" showAll="0">
      <items count="5">
        <item x="3"/>
        <item x="2"/>
        <item x="1"/>
        <item x="0"/>
        <item t="default"/>
      </items>
    </pivotField>
    <pivotField showAll="0"/>
    <pivotField axis="axisRow" showAll="0">
      <items count="11">
        <item x="6"/>
        <item x="9"/>
        <item x="2"/>
        <item x="8"/>
        <item x="5"/>
        <item x="1"/>
        <item x="0"/>
        <item x="3"/>
        <item x="7"/>
        <item x="4"/>
        <item t="default"/>
      </items>
    </pivotField>
    <pivotField showAll="0"/>
    <pivotField showAll="0"/>
    <pivotField showAll="0"/>
    <pivotField showAll="0"/>
    <pivotField dataField="1" showAll="0"/>
    <pivotField showAll="0" defaultSubtotal="0">
      <items count="4">
        <item x="0"/>
        <item x="1"/>
        <item x="2"/>
        <item x="3"/>
      </items>
    </pivotField>
  </pivotFields>
  <rowFields count="1">
    <field x="4"/>
  </rowFields>
  <rowItems count="11">
    <i>
      <x/>
    </i>
    <i>
      <x v="1"/>
    </i>
    <i>
      <x v="2"/>
    </i>
    <i>
      <x v="3"/>
    </i>
    <i>
      <x v="4"/>
    </i>
    <i>
      <x v="5"/>
    </i>
    <i>
      <x v="6"/>
    </i>
    <i>
      <x v="7"/>
    </i>
    <i>
      <x v="8"/>
    </i>
    <i>
      <x v="9"/>
    </i>
    <i t="grand">
      <x/>
    </i>
  </rowItems>
  <colFields count="1">
    <field x="2"/>
  </colFields>
  <colItems count="5">
    <i>
      <x/>
    </i>
    <i>
      <x v="1"/>
    </i>
    <i>
      <x v="2"/>
    </i>
    <i>
      <x v="3"/>
    </i>
    <i t="grand">
      <x/>
    </i>
  </colItems>
  <dataFields count="1">
    <dataField name="Sum of Net_Sales" fld="9" baseField="0" baseItem="0"/>
  </dataFields>
  <formats count="4">
    <format dxfId="9">
      <pivotArea grandCol="1" outline="0" collapsedLevelsAreSubtotals="1" fieldPosition="0"/>
    </format>
    <format dxfId="8">
      <pivotArea grandCol="1" outline="0" collapsedLevelsAreSubtotals="1" fieldPosition="0"/>
    </format>
    <format dxfId="7">
      <pivotArea grandCol="1" outline="0" collapsedLevelsAreSubtotals="1" fieldPosition="0"/>
    </format>
    <format dxfId="6">
      <pivotArea dataOnly="0" grandRow="1" fieldPosition="0"/>
    </format>
  </formats>
  <chartFormats count="8">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8" format="2" series="1">
      <pivotArea type="data" outline="0" fieldPosition="0">
        <references count="2">
          <reference field="4294967294" count="1" selected="0">
            <x v="0"/>
          </reference>
          <reference field="2" count="1" selected="0">
            <x v="2"/>
          </reference>
        </references>
      </pivotArea>
    </chartFormat>
    <chartFormat chart="8" format="3" series="1">
      <pivotArea type="data" outline="0" fieldPosition="0">
        <references count="2">
          <reference field="4294967294" count="1" selected="0">
            <x v="0"/>
          </reference>
          <reference field="2" count="1" selected="0">
            <x v="3"/>
          </reference>
        </references>
      </pivotArea>
    </chartFormat>
    <chartFormat chart="10" format="12" series="1">
      <pivotArea type="data" outline="0" fieldPosition="0">
        <references count="2">
          <reference field="4294967294" count="1" selected="0">
            <x v="0"/>
          </reference>
          <reference field="2" count="1" selected="0">
            <x v="0"/>
          </reference>
        </references>
      </pivotArea>
    </chartFormat>
    <chartFormat chart="10" format="13" series="1">
      <pivotArea type="data" outline="0" fieldPosition="0">
        <references count="2">
          <reference field="4294967294" count="1" selected="0">
            <x v="0"/>
          </reference>
          <reference field="2" count="1" selected="0">
            <x v="1"/>
          </reference>
        </references>
      </pivotArea>
    </chartFormat>
    <chartFormat chart="10" format="14" series="1">
      <pivotArea type="data" outline="0" fieldPosition="0">
        <references count="2">
          <reference field="4294967294" count="1" selected="0">
            <x v="0"/>
          </reference>
          <reference field="2" count="1" selected="0">
            <x v="2"/>
          </reference>
        </references>
      </pivotArea>
    </chartFormat>
    <chartFormat chart="10" format="15"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4:M15" firstHeaderRow="1" firstDataRow="1" firstDataCol="1"/>
  <pivotFields count="11">
    <pivotField showAll="0"/>
    <pivotField numFmtId="14" showAll="0">
      <items count="15">
        <item x="0"/>
        <item x="1"/>
        <item x="2"/>
        <item x="3"/>
        <item x="4"/>
        <item x="5"/>
        <item x="6"/>
        <item x="7"/>
        <item x="8"/>
        <item x="9"/>
        <item x="10"/>
        <item x="11"/>
        <item x="12"/>
        <item x="13"/>
        <item t="default"/>
      </items>
    </pivotField>
    <pivotField showAll="0">
      <items count="5">
        <item x="3"/>
        <item x="2"/>
        <item x="1"/>
        <item x="0"/>
        <item t="default"/>
      </items>
    </pivotField>
    <pivotField axis="axisRow" showAll="0">
      <items count="11">
        <item x="9"/>
        <item x="1"/>
        <item x="6"/>
        <item x="7"/>
        <item x="5"/>
        <item x="0"/>
        <item x="3"/>
        <item x="8"/>
        <item x="2"/>
        <item x="4"/>
        <item t="default"/>
      </items>
    </pivotField>
    <pivotField showAll="0">
      <items count="11">
        <item x="6"/>
        <item x="9"/>
        <item x="2"/>
        <item x="8"/>
        <item x="5"/>
        <item x="1"/>
        <item x="0"/>
        <item x="3"/>
        <item x="7"/>
        <item x="4"/>
        <item t="default"/>
      </items>
    </pivotField>
    <pivotField showAll="0"/>
    <pivotField showAll="0"/>
    <pivotField showAll="0"/>
    <pivotField showAll="0"/>
    <pivotField dataField="1" showAll="0"/>
    <pivotField showAll="0" defaultSubtotal="0">
      <items count="4">
        <item x="0"/>
        <item x="1"/>
        <item x="2"/>
        <item x="3"/>
      </items>
    </pivotField>
  </pivotFields>
  <rowFields count="1">
    <field x="3"/>
  </rowFields>
  <rowItems count="11">
    <i>
      <x/>
    </i>
    <i>
      <x v="1"/>
    </i>
    <i>
      <x v="2"/>
    </i>
    <i>
      <x v="3"/>
    </i>
    <i>
      <x v="4"/>
    </i>
    <i>
      <x v="5"/>
    </i>
    <i>
      <x v="6"/>
    </i>
    <i>
      <x v="7"/>
    </i>
    <i>
      <x v="8"/>
    </i>
    <i>
      <x v="9"/>
    </i>
    <i t="grand">
      <x/>
    </i>
  </rowItems>
  <colItems count="1">
    <i/>
  </colItems>
  <dataFields count="1">
    <dataField name="Sum of Net_Sales" fld="9" baseField="0" baseItem="0" numFmtId="165"/>
  </dataFields>
  <formats count="2">
    <format dxfId="11">
      <pivotArea outline="0" collapsedLevelsAreSubtotals="1" fieldPosition="0"/>
    </format>
    <format dxfId="10">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M3:N14" firstHeaderRow="1" firstDataRow="1" firstDataCol="1"/>
  <pivotFields count="11">
    <pivotField showAll="0"/>
    <pivotField numFmtId="14" showAll="0">
      <items count="15">
        <item x="0"/>
        <item x="1"/>
        <item x="2"/>
        <item x="3"/>
        <item x="4"/>
        <item x="5"/>
        <item x="6"/>
        <item x="7"/>
        <item x="8"/>
        <item x="9"/>
        <item x="10"/>
        <item x="11"/>
        <item x="12"/>
        <item x="13"/>
        <item t="default"/>
      </items>
    </pivotField>
    <pivotField showAll="0">
      <items count="5">
        <item x="3"/>
        <item x="2"/>
        <item x="1"/>
        <item x="0"/>
        <item t="default"/>
      </items>
    </pivotField>
    <pivotField showAll="0"/>
    <pivotField axis="axisRow" showAll="0">
      <items count="11">
        <item x="6"/>
        <item x="9"/>
        <item x="2"/>
        <item x="8"/>
        <item x="5"/>
        <item x="1"/>
        <item x="0"/>
        <item x="3"/>
        <item x="7"/>
        <item x="4"/>
        <item t="default"/>
      </items>
    </pivotField>
    <pivotField showAll="0"/>
    <pivotField showAll="0"/>
    <pivotField showAll="0"/>
    <pivotField showAll="0"/>
    <pivotField dataField="1" showAll="0"/>
    <pivotField showAll="0" defaultSubtotal="0">
      <items count="4">
        <item x="0"/>
        <item x="1"/>
        <item x="2"/>
        <item x="3"/>
      </items>
    </pivotField>
  </pivotFields>
  <rowFields count="1">
    <field x="4"/>
  </rowFields>
  <rowItems count="11">
    <i>
      <x/>
    </i>
    <i>
      <x v="1"/>
    </i>
    <i>
      <x v="2"/>
    </i>
    <i>
      <x v="3"/>
    </i>
    <i>
      <x v="4"/>
    </i>
    <i>
      <x v="5"/>
    </i>
    <i>
      <x v="6"/>
    </i>
    <i>
      <x v="7"/>
    </i>
    <i>
      <x v="8"/>
    </i>
    <i>
      <x v="9"/>
    </i>
    <i t="grand">
      <x/>
    </i>
  </rowItems>
  <colItems count="1">
    <i/>
  </colItems>
  <dataFields count="1">
    <dataField name="Count of Net_Sales" fld="9" subtotal="count" baseField="4" baseItem="0"/>
  </dataFields>
  <chartFormats count="5">
    <chartFormat chart="5" format="1"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J9:K14" firstHeaderRow="1" firstDataRow="1" firstDataCol="1"/>
  <pivotFields count="11">
    <pivotField showAll="0"/>
    <pivotField numFmtId="14" showAll="0">
      <items count="15">
        <item x="0"/>
        <item x="1"/>
        <item x="2"/>
        <item x="3"/>
        <item x="4"/>
        <item x="5"/>
        <item x="6"/>
        <item x="7"/>
        <item x="8"/>
        <item x="9"/>
        <item x="10"/>
        <item x="11"/>
        <item x="12"/>
        <item x="13"/>
        <item t="default"/>
      </items>
    </pivotField>
    <pivotField axis="axisRow" showAll="0">
      <items count="5">
        <item x="3"/>
        <item x="2"/>
        <item x="1"/>
        <item x="0"/>
        <item t="default"/>
      </items>
    </pivotField>
    <pivotField showAll="0"/>
    <pivotField showAll="0"/>
    <pivotField showAll="0"/>
    <pivotField showAll="0"/>
    <pivotField showAll="0"/>
    <pivotField showAll="0"/>
    <pivotField dataField="1" showAll="0"/>
    <pivotField showAll="0" defaultSubtotal="0">
      <items count="4">
        <item x="0"/>
        <item x="1"/>
        <item x="2"/>
        <item x="3"/>
      </items>
    </pivotField>
  </pivotFields>
  <rowFields count="1">
    <field x="2"/>
  </rowFields>
  <rowItems count="5">
    <i>
      <x/>
    </i>
    <i>
      <x v="1"/>
    </i>
    <i>
      <x v="2"/>
    </i>
    <i>
      <x v="3"/>
    </i>
    <i t="grand">
      <x/>
    </i>
  </rowItems>
  <colItems count="1">
    <i/>
  </colItems>
  <dataFields count="1">
    <dataField name="Count of Net_Sales" fld="9" subtotal="count" baseField="2" baseItem="0"/>
  </dataFields>
  <chartFormats count="25">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 chart="3" format="6">
      <pivotArea type="data" outline="0" fieldPosition="0">
        <references count="2">
          <reference field="4294967294" count="1" selected="0">
            <x v="0"/>
          </reference>
          <reference field="2" count="1" selected="0">
            <x v="3"/>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4" format="33" series="1">
      <pivotArea type="data" outline="0" fieldPosition="0">
        <references count="1">
          <reference field="4294967294" count="1" selected="0">
            <x v="0"/>
          </reference>
        </references>
      </pivotArea>
    </chartFormat>
    <chartFormat chart="4" format="34">
      <pivotArea type="data" outline="0" fieldPosition="0">
        <references count="2">
          <reference field="4294967294" count="1" selected="0">
            <x v="0"/>
          </reference>
          <reference field="2" count="1" selected="0">
            <x v="0"/>
          </reference>
        </references>
      </pivotArea>
    </chartFormat>
    <chartFormat chart="4" format="35">
      <pivotArea type="data" outline="0" fieldPosition="0">
        <references count="2">
          <reference field="4294967294" count="1" selected="0">
            <x v="0"/>
          </reference>
          <reference field="2" count="1" selected="0">
            <x v="1"/>
          </reference>
        </references>
      </pivotArea>
    </chartFormat>
    <chartFormat chart="4" format="36">
      <pivotArea type="data" outline="0" fieldPosition="0">
        <references count="2">
          <reference field="4294967294" count="1" selected="0">
            <x v="0"/>
          </reference>
          <reference field="2" count="1" selected="0">
            <x v="2"/>
          </reference>
        </references>
      </pivotArea>
    </chartFormat>
    <chartFormat chart="4" format="37">
      <pivotArea type="data" outline="0" fieldPosition="0">
        <references count="2">
          <reference field="4294967294" count="1" selected="0">
            <x v="0"/>
          </reference>
          <reference field="2" count="1" selected="0">
            <x v="3"/>
          </reference>
        </references>
      </pivotArea>
    </chartFormat>
    <chartFormat chart="8" format="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0"/>
          </reference>
        </references>
      </pivotArea>
    </chartFormat>
    <chartFormat chart="11" format="12">
      <pivotArea type="data" outline="0" fieldPosition="0">
        <references count="2">
          <reference field="4294967294" count="1" selected="0">
            <x v="0"/>
          </reference>
          <reference field="2" count="1" selected="0">
            <x v="0"/>
          </reference>
        </references>
      </pivotArea>
    </chartFormat>
    <chartFormat chart="11" format="13">
      <pivotArea type="data" outline="0" fieldPosition="0">
        <references count="2">
          <reference field="4294967294" count="1" selected="0">
            <x v="0"/>
          </reference>
          <reference field="2" count="1" selected="0">
            <x v="1"/>
          </reference>
        </references>
      </pivotArea>
    </chartFormat>
    <chartFormat chart="11" format="14">
      <pivotArea type="data" outline="0" fieldPosition="0">
        <references count="2">
          <reference field="4294967294" count="1" selected="0">
            <x v="0"/>
          </reference>
          <reference field="2" count="1" selected="0">
            <x v="2"/>
          </reference>
        </references>
      </pivotArea>
    </chartFormat>
    <chartFormat chart="11" format="15">
      <pivotArea type="data" outline="0" fieldPosition="0">
        <references count="2">
          <reference field="4294967294" count="1" selected="0">
            <x v="0"/>
          </reference>
          <reference field="2" count="1" selected="0">
            <x v="3"/>
          </reference>
        </references>
      </pivotArea>
    </chartFormat>
    <chartFormat chart="8" format="1">
      <pivotArea type="data" outline="0" fieldPosition="0">
        <references count="2">
          <reference field="4294967294" count="1" selected="0">
            <x v="0"/>
          </reference>
          <reference field="2" count="1" selected="0">
            <x v="0"/>
          </reference>
        </references>
      </pivotArea>
    </chartFormat>
    <chartFormat chart="8" format="2">
      <pivotArea type="data" outline="0" fieldPosition="0">
        <references count="2">
          <reference field="4294967294" count="1" selected="0">
            <x v="0"/>
          </reference>
          <reference field="2" count="1" selected="0">
            <x v="1"/>
          </reference>
        </references>
      </pivotArea>
    </chartFormat>
    <chartFormat chart="8" format="3">
      <pivotArea type="data" outline="0" fieldPosition="0">
        <references count="2">
          <reference field="4294967294" count="1" selected="0">
            <x v="0"/>
          </reference>
          <reference field="2" count="1" selected="0">
            <x v="2"/>
          </reference>
        </references>
      </pivotArea>
    </chartFormat>
    <chartFormat chart="8"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G3:H19" firstHeaderRow="1" firstDataRow="1" firstDataCol="1"/>
  <pivotFields count="11">
    <pivotField showAll="0"/>
    <pivotField axis="axisRow" numFmtId="14" showAll="0">
      <items count="15">
        <item h="1" x="0"/>
        <item x="1"/>
        <item x="2"/>
        <item x="3"/>
        <item x="4"/>
        <item x="5"/>
        <item x="6"/>
        <item x="7"/>
        <item x="8"/>
        <item x="9"/>
        <item x="10"/>
        <item x="11"/>
        <item x="12"/>
        <item h="1" x="13"/>
        <item t="default"/>
      </items>
    </pivotField>
    <pivotField showAll="0">
      <items count="5">
        <item x="3"/>
        <item x="2"/>
        <item x="1"/>
        <item x="0"/>
        <item t="default"/>
      </items>
    </pivotField>
    <pivotField showAll="0"/>
    <pivotField showAll="0">
      <items count="11">
        <item x="6"/>
        <item x="9"/>
        <item x="2"/>
        <item x="8"/>
        <item x="5"/>
        <item x="1"/>
        <item x="0"/>
        <item x="3"/>
        <item x="7"/>
        <item x="4"/>
        <item t="default"/>
      </items>
    </pivotField>
    <pivotField showAll="0"/>
    <pivotField showAll="0"/>
    <pivotField showAll="0"/>
    <pivotField showAll="0"/>
    <pivotField dataField="1" showAll="0"/>
    <pivotField axis="axisRow" showAll="0" defaultSubtotal="0">
      <items count="4">
        <item x="0"/>
        <item x="1"/>
        <item x="2"/>
        <item x="3"/>
      </items>
    </pivotField>
  </pivotFields>
  <rowFields count="2">
    <field x="10"/>
    <field x="1"/>
  </rowFields>
  <rowItems count="16">
    <i>
      <x v="1"/>
    </i>
    <i r="1">
      <x v="5"/>
    </i>
    <i r="1">
      <x v="6"/>
    </i>
    <i r="1">
      <x v="7"/>
    </i>
    <i r="1">
      <x v="8"/>
    </i>
    <i r="1">
      <x v="9"/>
    </i>
    <i r="1">
      <x v="10"/>
    </i>
    <i r="1">
      <x v="11"/>
    </i>
    <i r="1">
      <x v="12"/>
    </i>
    <i>
      <x v="2"/>
    </i>
    <i r="1">
      <x v="1"/>
    </i>
    <i r="1">
      <x v="2"/>
    </i>
    <i r="1">
      <x v="3"/>
    </i>
    <i r="1">
      <x v="4"/>
    </i>
    <i r="1">
      <x v="5"/>
    </i>
    <i t="grand">
      <x/>
    </i>
  </rowItems>
  <colItems count="1">
    <i/>
  </colItems>
  <dataFields count="1">
    <dataField name="Sum of Net_Sales" fld="9" baseField="0" baseItem="0"/>
  </dataFields>
  <chartFormats count="2">
    <chartFormat chart="0" format="2"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D3:E14" firstHeaderRow="1" firstDataRow="1" firstDataCol="1"/>
  <pivotFields count="11">
    <pivotField showAll="0"/>
    <pivotField numFmtId="14" showAll="0">
      <items count="15">
        <item x="0"/>
        <item x="1"/>
        <item x="2"/>
        <item x="3"/>
        <item x="4"/>
        <item x="5"/>
        <item x="6"/>
        <item x="7"/>
        <item x="8"/>
        <item x="9"/>
        <item x="10"/>
        <item x="11"/>
        <item x="12"/>
        <item x="13"/>
        <item t="default"/>
      </items>
    </pivotField>
    <pivotField showAll="0">
      <items count="5">
        <item x="3"/>
        <item x="2"/>
        <item x="1"/>
        <item x="0"/>
        <item t="default"/>
      </items>
    </pivotField>
    <pivotField showAll="0"/>
    <pivotField axis="axisRow" showAll="0">
      <items count="11">
        <item x="6"/>
        <item x="9"/>
        <item x="2"/>
        <item x="8"/>
        <item x="5"/>
        <item x="1"/>
        <item x="0"/>
        <item x="3"/>
        <item x="7"/>
        <item x="4"/>
        <item t="default"/>
      </items>
    </pivotField>
    <pivotField showAll="0"/>
    <pivotField showAll="0"/>
    <pivotField showAll="0"/>
    <pivotField showAll="0"/>
    <pivotField dataField="1" showAll="0"/>
    <pivotField showAll="0" defaultSubtotal="0">
      <items count="4">
        <item x="0"/>
        <item x="1"/>
        <item x="2"/>
        <item x="3"/>
      </items>
    </pivotField>
  </pivotFields>
  <rowFields count="1">
    <field x="4"/>
  </rowFields>
  <rowItems count="11">
    <i>
      <x/>
    </i>
    <i>
      <x v="1"/>
    </i>
    <i>
      <x v="2"/>
    </i>
    <i>
      <x v="3"/>
    </i>
    <i>
      <x v="4"/>
    </i>
    <i>
      <x v="5"/>
    </i>
    <i>
      <x v="6"/>
    </i>
    <i>
      <x v="7"/>
    </i>
    <i>
      <x v="8"/>
    </i>
    <i>
      <x v="9"/>
    </i>
    <i t="grand">
      <x/>
    </i>
  </rowItems>
  <colItems count="1">
    <i/>
  </colItems>
  <dataFields count="1">
    <dataField name="Sum of Net_Sales" fld="9" baseField="0" baseItem="0"/>
  </dataFields>
  <chartFormats count="3">
    <chartFormat chart="5" format="1"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8" firstHeaderRow="1" firstDataRow="1" firstDataCol="1"/>
  <pivotFields count="11">
    <pivotField showAll="0"/>
    <pivotField numFmtId="14" showAll="0">
      <items count="15">
        <item x="0"/>
        <item x="1"/>
        <item x="2"/>
        <item x="3"/>
        <item x="4"/>
        <item x="5"/>
        <item x="6"/>
        <item x="7"/>
        <item x="8"/>
        <item x="9"/>
        <item x="10"/>
        <item x="11"/>
        <item x="12"/>
        <item x="13"/>
        <item t="default"/>
      </items>
    </pivotField>
    <pivotField axis="axisRow" showAll="0">
      <items count="5">
        <item x="3"/>
        <item x="2"/>
        <item x="1"/>
        <item x="0"/>
        <item t="default"/>
      </items>
    </pivotField>
    <pivotField showAll="0"/>
    <pivotField showAll="0"/>
    <pivotField showAll="0"/>
    <pivotField showAll="0"/>
    <pivotField showAll="0"/>
    <pivotField showAll="0"/>
    <pivotField dataField="1" showAll="0"/>
    <pivotField showAll="0" defaultSubtotal="0">
      <items count="4">
        <item x="0"/>
        <item x="1"/>
        <item x="2"/>
        <item x="3"/>
      </items>
    </pivotField>
  </pivotFields>
  <rowFields count="1">
    <field x="2"/>
  </rowFields>
  <rowItems count="5">
    <i>
      <x/>
    </i>
    <i>
      <x v="1"/>
    </i>
    <i>
      <x v="2"/>
    </i>
    <i>
      <x v="3"/>
    </i>
    <i t="grand">
      <x/>
    </i>
  </rowItems>
  <colItems count="1">
    <i/>
  </colItems>
  <dataFields count="1">
    <dataField name="Sum of Net_Sales" fld="9" baseField="0" baseItem="0"/>
  </dataFields>
  <chartFormats count="15">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 chart="3" format="6">
      <pivotArea type="data" outline="0" fieldPosition="0">
        <references count="2">
          <reference field="4294967294" count="1" selected="0">
            <x v="0"/>
          </reference>
          <reference field="2" count="1" selected="0">
            <x v="3"/>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4" format="33" series="1">
      <pivotArea type="data" outline="0" fieldPosition="0">
        <references count="1">
          <reference field="4294967294" count="1" selected="0">
            <x v="0"/>
          </reference>
        </references>
      </pivotArea>
    </chartFormat>
    <chartFormat chart="4" format="34">
      <pivotArea type="data" outline="0" fieldPosition="0">
        <references count="2">
          <reference field="4294967294" count="1" selected="0">
            <x v="0"/>
          </reference>
          <reference field="2" count="1" selected="0">
            <x v="0"/>
          </reference>
        </references>
      </pivotArea>
    </chartFormat>
    <chartFormat chart="4" format="35">
      <pivotArea type="data" outline="0" fieldPosition="0">
        <references count="2">
          <reference field="4294967294" count="1" selected="0">
            <x v="0"/>
          </reference>
          <reference field="2" count="1" selected="0">
            <x v="1"/>
          </reference>
        </references>
      </pivotArea>
    </chartFormat>
    <chartFormat chart="4" format="36">
      <pivotArea type="data" outline="0" fieldPosition="0">
        <references count="2">
          <reference field="4294967294" count="1" selected="0">
            <x v="0"/>
          </reference>
          <reference field="2" count="1" selected="0">
            <x v="2"/>
          </reference>
        </references>
      </pivotArea>
    </chartFormat>
    <chartFormat chart="4" format="37">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8"/>
    <pivotTable tabId="6" name="PivotTable1"/>
  </pivotTables>
  <data>
    <tabular pivotCacheId="1">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Date" sourceName="Order_Date">
  <pivotTables>
    <pivotTable tabId="6" name="PivotTable10"/>
  </pivotTables>
  <data>
    <tabular pivotCacheId="1">
      <items count="14">
        <i x="1" s="1"/>
        <i x="2" s="1"/>
        <i x="3" s="1"/>
        <i x="4" s="1"/>
        <i x="5" s="1"/>
        <i x="6" s="1"/>
        <i x="7" s="1"/>
        <i x="8" s="1"/>
        <i x="9" s="1"/>
        <i x="10" s="1"/>
        <i x="11" s="1"/>
        <i x="12" s="1"/>
        <i x="0" nd="1"/>
        <i x="1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6" name="PivotTable9"/>
    <pivotTable tabId="6" name="PivotTable2"/>
  </pivotTables>
  <data>
    <tabular pivotCacheId="1">
      <items count="10">
        <i x="6" s="1"/>
        <i x="9" s="1"/>
        <i x="2" s="1"/>
        <i x="8" s="1"/>
        <i x="5" s="1"/>
        <i x="1" s="1"/>
        <i x="0" s="1"/>
        <i x="3" s="1"/>
        <i x="7"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Order_Date" cache="Slicer_Order_Date" caption="Order_Date" rowHeight="234950"/>
  <slicer name="Product" cache="Slicer_Product" caption="Product" startItem="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1.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2"/>
  <sheetViews>
    <sheetView topLeftCell="A982" workbookViewId="0">
      <selection activeCell="J3" sqref="J3:J1002"/>
    </sheetView>
  </sheetViews>
  <sheetFormatPr defaultRowHeight="14.4" x14ac:dyDescent="0.3"/>
  <cols>
    <col min="2" max="2" width="12.21875" customWidth="1"/>
    <col min="4" max="4" width="12.44140625" customWidth="1"/>
    <col min="5" max="5" width="11.21875" customWidth="1"/>
    <col min="7" max="8" width="11.21875" style="9" customWidth="1"/>
    <col min="10" max="10" width="11.21875" style="9" customWidth="1"/>
    <col min="13" max="13" width="16.21875" customWidth="1"/>
    <col min="14" max="14" width="9.44140625" bestFit="1" customWidth="1"/>
  </cols>
  <sheetData>
    <row r="1" spans="1:14" x14ac:dyDescent="0.3">
      <c r="A1" s="25" t="s">
        <v>1061</v>
      </c>
      <c r="B1" s="25"/>
      <c r="C1" s="25"/>
      <c r="D1" s="25"/>
      <c r="E1" s="25"/>
      <c r="F1" s="25"/>
      <c r="G1" s="25"/>
      <c r="H1" s="25"/>
      <c r="I1" s="25"/>
      <c r="J1" s="25"/>
    </row>
    <row r="2" spans="1:14" x14ac:dyDescent="0.3">
      <c r="A2" s="1" t="s">
        <v>0</v>
      </c>
      <c r="B2" s="1" t="s">
        <v>1</v>
      </c>
      <c r="C2" s="1" t="s">
        <v>2</v>
      </c>
      <c r="D2" s="1" t="s">
        <v>3</v>
      </c>
      <c r="E2" s="1" t="s">
        <v>4</v>
      </c>
      <c r="F2" s="1" t="s">
        <v>5</v>
      </c>
      <c r="G2" s="14" t="s">
        <v>6</v>
      </c>
      <c r="H2" s="14" t="s">
        <v>7</v>
      </c>
      <c r="I2" s="1" t="s">
        <v>8</v>
      </c>
      <c r="J2" s="14" t="s">
        <v>9</v>
      </c>
      <c r="K2" s="1"/>
    </row>
    <row r="3" spans="1:14" x14ac:dyDescent="0.3">
      <c r="A3" s="2" t="s">
        <v>10</v>
      </c>
      <c r="B3" s="3">
        <v>45817</v>
      </c>
      <c r="C3" s="2" t="s">
        <v>11</v>
      </c>
      <c r="D3" s="2" t="s">
        <v>12</v>
      </c>
      <c r="E3" s="2" t="s">
        <v>13</v>
      </c>
      <c r="F3" s="2">
        <v>6</v>
      </c>
      <c r="G3" s="15">
        <v>877.99</v>
      </c>
      <c r="H3" s="15">
        <v>5267.94</v>
      </c>
      <c r="I3" s="2">
        <v>10</v>
      </c>
      <c r="J3" s="15">
        <v>4741.1499999999996</v>
      </c>
      <c r="K3" s="9"/>
      <c r="N3" s="9"/>
    </row>
    <row r="4" spans="1:14" x14ac:dyDescent="0.3">
      <c r="A4" s="2" t="s">
        <v>14</v>
      </c>
      <c r="B4" s="3">
        <v>45938</v>
      </c>
      <c r="C4" s="2" t="s">
        <v>15</v>
      </c>
      <c r="D4" s="2" t="s">
        <v>16</v>
      </c>
      <c r="E4" s="2" t="s">
        <v>13</v>
      </c>
      <c r="F4" s="2">
        <v>5</v>
      </c>
      <c r="G4" s="15">
        <v>598.15</v>
      </c>
      <c r="H4" s="15">
        <v>2990.75</v>
      </c>
      <c r="I4" s="2">
        <v>20</v>
      </c>
      <c r="J4" s="15">
        <v>2392.6</v>
      </c>
    </row>
    <row r="5" spans="1:14" x14ac:dyDescent="0.3">
      <c r="A5" s="2" t="s">
        <v>17</v>
      </c>
      <c r="B5" s="3">
        <v>45982</v>
      </c>
      <c r="C5" s="2" t="s">
        <v>18</v>
      </c>
      <c r="D5" s="2" t="s">
        <v>19</v>
      </c>
      <c r="E5" s="2" t="s">
        <v>20</v>
      </c>
      <c r="F5" s="2">
        <v>14</v>
      </c>
      <c r="G5" s="15">
        <v>663.17</v>
      </c>
      <c r="H5" s="15">
        <v>9284.3799999999992</v>
      </c>
      <c r="I5" s="2">
        <v>0</v>
      </c>
      <c r="J5" s="15">
        <v>9284.3799999999992</v>
      </c>
    </row>
    <row r="6" spans="1:14" x14ac:dyDescent="0.3">
      <c r="A6" s="2" t="s">
        <v>21</v>
      </c>
      <c r="B6" s="3">
        <v>45986</v>
      </c>
      <c r="C6" s="2" t="s">
        <v>22</v>
      </c>
      <c r="D6" s="2" t="s">
        <v>23</v>
      </c>
      <c r="E6" s="2" t="s">
        <v>24</v>
      </c>
      <c r="F6" s="2">
        <v>16</v>
      </c>
      <c r="G6" s="15">
        <v>485.21</v>
      </c>
      <c r="H6" s="15">
        <v>7763.36</v>
      </c>
      <c r="I6" s="2">
        <v>20</v>
      </c>
      <c r="J6" s="15">
        <v>6210.69</v>
      </c>
      <c r="M6" s="7" t="s">
        <v>1038</v>
      </c>
    </row>
    <row r="7" spans="1:14" x14ac:dyDescent="0.3">
      <c r="A7" s="2" t="s">
        <v>25</v>
      </c>
      <c r="B7" s="3">
        <v>45990</v>
      </c>
      <c r="C7" s="2" t="s">
        <v>22</v>
      </c>
      <c r="D7" s="2" t="s">
        <v>26</v>
      </c>
      <c r="E7" s="2" t="s">
        <v>27</v>
      </c>
      <c r="F7" s="2">
        <v>17</v>
      </c>
      <c r="G7" s="15">
        <v>484.15</v>
      </c>
      <c r="H7" s="15">
        <v>8230.5499999999993</v>
      </c>
      <c r="I7" s="2">
        <v>20</v>
      </c>
      <c r="J7" s="15">
        <v>6584.44</v>
      </c>
      <c r="M7" s="9">
        <f>SUM(J3:J21002)</f>
        <v>5035712.6500000013</v>
      </c>
    </row>
    <row r="8" spans="1:14" x14ac:dyDescent="0.3">
      <c r="A8" s="2" t="s">
        <v>28</v>
      </c>
      <c r="B8" s="3">
        <v>45993</v>
      </c>
      <c r="C8" s="2" t="s">
        <v>22</v>
      </c>
      <c r="D8" s="2" t="s">
        <v>29</v>
      </c>
      <c r="E8" s="2" t="s">
        <v>30</v>
      </c>
      <c r="F8" s="2">
        <v>18</v>
      </c>
      <c r="G8" s="15">
        <v>332.85</v>
      </c>
      <c r="H8" s="15">
        <v>5991.3</v>
      </c>
      <c r="I8" s="2">
        <v>20</v>
      </c>
      <c r="J8" s="15">
        <v>4793.04</v>
      </c>
    </row>
    <row r="9" spans="1:14" x14ac:dyDescent="0.3">
      <c r="A9" s="2" t="s">
        <v>31</v>
      </c>
      <c r="B9" s="3">
        <v>46076</v>
      </c>
      <c r="C9" s="2" t="s">
        <v>18</v>
      </c>
      <c r="D9" s="2" t="s">
        <v>32</v>
      </c>
      <c r="E9" s="2" t="s">
        <v>33</v>
      </c>
      <c r="F9" s="2">
        <v>11</v>
      </c>
      <c r="G9" s="15">
        <v>777.13</v>
      </c>
      <c r="H9" s="15">
        <v>8548.43</v>
      </c>
      <c r="I9" s="2">
        <v>20</v>
      </c>
      <c r="J9" s="15">
        <v>6838.74</v>
      </c>
    </row>
    <row r="10" spans="1:14" x14ac:dyDescent="0.3">
      <c r="A10" s="2" t="s">
        <v>34</v>
      </c>
      <c r="B10" s="3">
        <v>46115</v>
      </c>
      <c r="C10" s="2" t="s">
        <v>22</v>
      </c>
      <c r="D10" s="2" t="s">
        <v>19</v>
      </c>
      <c r="E10" s="2" t="s">
        <v>30</v>
      </c>
      <c r="F10" s="2">
        <v>9</v>
      </c>
      <c r="G10" s="15">
        <v>55.05</v>
      </c>
      <c r="H10" s="15">
        <v>495.45</v>
      </c>
      <c r="I10" s="2">
        <v>15</v>
      </c>
      <c r="J10" s="15">
        <v>421.13</v>
      </c>
      <c r="M10" s="7" t="s">
        <v>1039</v>
      </c>
    </row>
    <row r="11" spans="1:14" x14ac:dyDescent="0.3">
      <c r="A11" s="2" t="s">
        <v>35</v>
      </c>
      <c r="B11" s="3">
        <v>46108</v>
      </c>
      <c r="C11" s="2" t="s">
        <v>11</v>
      </c>
      <c r="D11" s="2" t="s">
        <v>29</v>
      </c>
      <c r="E11" s="2" t="s">
        <v>13</v>
      </c>
      <c r="F11" s="2">
        <v>3</v>
      </c>
      <c r="G11" s="15">
        <v>78.680000000000007</v>
      </c>
      <c r="H11" s="15">
        <v>236.04</v>
      </c>
      <c r="I11" s="2">
        <v>15</v>
      </c>
      <c r="J11" s="15">
        <v>200.63</v>
      </c>
      <c r="M11" s="9">
        <f>AVERAGE(J3:J1002)</f>
        <v>5035.7126500000013</v>
      </c>
    </row>
    <row r="12" spans="1:14" x14ac:dyDescent="0.3">
      <c r="A12" s="2" t="s">
        <v>36</v>
      </c>
      <c r="B12" s="3">
        <v>45935</v>
      </c>
      <c r="C12" s="2" t="s">
        <v>15</v>
      </c>
      <c r="D12" s="2" t="s">
        <v>23</v>
      </c>
      <c r="E12" s="2" t="s">
        <v>37</v>
      </c>
      <c r="F12" s="2">
        <v>6</v>
      </c>
      <c r="G12" s="15">
        <v>512.05999999999995</v>
      </c>
      <c r="H12" s="15">
        <v>3072.36</v>
      </c>
      <c r="I12" s="2">
        <v>10</v>
      </c>
      <c r="J12" s="15">
        <v>2765.12</v>
      </c>
    </row>
    <row r="13" spans="1:14" x14ac:dyDescent="0.3">
      <c r="A13" s="2" t="s">
        <v>38</v>
      </c>
      <c r="B13" s="3">
        <v>45877</v>
      </c>
      <c r="C13" s="2" t="s">
        <v>11</v>
      </c>
      <c r="D13" s="2" t="s">
        <v>16</v>
      </c>
      <c r="E13" s="2" t="s">
        <v>39</v>
      </c>
      <c r="F13" s="2">
        <v>4</v>
      </c>
      <c r="G13" s="15">
        <v>976.43</v>
      </c>
      <c r="H13" s="15">
        <v>3905.72</v>
      </c>
      <c r="I13" s="2">
        <v>20</v>
      </c>
      <c r="J13" s="15">
        <v>3124.58</v>
      </c>
    </row>
    <row r="14" spans="1:14" x14ac:dyDescent="0.3">
      <c r="A14" s="2" t="s">
        <v>40</v>
      </c>
      <c r="B14" s="3">
        <v>45847</v>
      </c>
      <c r="C14" s="2" t="s">
        <v>15</v>
      </c>
      <c r="D14" s="2" t="s">
        <v>16</v>
      </c>
      <c r="E14" s="2" t="s">
        <v>37</v>
      </c>
      <c r="F14" s="2">
        <v>16</v>
      </c>
      <c r="G14" s="15">
        <v>691.07</v>
      </c>
      <c r="H14" s="15">
        <v>11057.12</v>
      </c>
      <c r="I14" s="2">
        <v>20</v>
      </c>
      <c r="J14" s="15">
        <v>8845.7000000000007</v>
      </c>
      <c r="M14" s="7" t="s">
        <v>1058</v>
      </c>
    </row>
    <row r="15" spans="1:14" x14ac:dyDescent="0.3">
      <c r="A15" s="2" t="s">
        <v>41</v>
      </c>
      <c r="B15" s="3">
        <v>46022</v>
      </c>
      <c r="C15" s="2" t="s">
        <v>15</v>
      </c>
      <c r="D15" s="2" t="s">
        <v>29</v>
      </c>
      <c r="E15" s="2" t="s">
        <v>33</v>
      </c>
      <c r="F15" s="2">
        <v>13</v>
      </c>
      <c r="G15" s="15">
        <v>605.85</v>
      </c>
      <c r="H15" s="15">
        <v>7876.05</v>
      </c>
      <c r="I15" s="2">
        <v>15</v>
      </c>
      <c r="J15" s="15">
        <v>6694.64</v>
      </c>
      <c r="M15">
        <f>COUNTA(A3:A1002)</f>
        <v>1000</v>
      </c>
    </row>
    <row r="16" spans="1:14" x14ac:dyDescent="0.3">
      <c r="A16" s="2" t="s">
        <v>42</v>
      </c>
      <c r="B16" s="3">
        <v>45873</v>
      </c>
      <c r="C16" s="2" t="s">
        <v>15</v>
      </c>
      <c r="D16" s="2" t="s">
        <v>32</v>
      </c>
      <c r="E16" s="2" t="s">
        <v>33</v>
      </c>
      <c r="F16" s="2">
        <v>19</v>
      </c>
      <c r="G16" s="15">
        <v>180.02</v>
      </c>
      <c r="H16" s="15">
        <v>3420.38</v>
      </c>
      <c r="I16" s="2">
        <v>20</v>
      </c>
      <c r="J16" s="15">
        <v>2736.3</v>
      </c>
    </row>
    <row r="17" spans="1:18" x14ac:dyDescent="0.3">
      <c r="A17" s="2" t="s">
        <v>43</v>
      </c>
      <c r="B17" s="3">
        <v>46141</v>
      </c>
      <c r="C17" s="2" t="s">
        <v>22</v>
      </c>
      <c r="D17" s="2" t="s">
        <v>44</v>
      </c>
      <c r="E17" s="2" t="s">
        <v>30</v>
      </c>
      <c r="F17" s="2">
        <v>9</v>
      </c>
      <c r="G17" s="15">
        <v>720.37</v>
      </c>
      <c r="H17" s="15">
        <v>6483.33</v>
      </c>
      <c r="I17" s="2">
        <v>0</v>
      </c>
      <c r="J17" s="15">
        <v>6483.33</v>
      </c>
    </row>
    <row r="18" spans="1:18" x14ac:dyDescent="0.3">
      <c r="A18" s="2" t="s">
        <v>45</v>
      </c>
      <c r="B18" s="3">
        <v>46007</v>
      </c>
      <c r="C18" s="2" t="s">
        <v>15</v>
      </c>
      <c r="D18" s="2" t="s">
        <v>44</v>
      </c>
      <c r="E18" s="2" t="s">
        <v>37</v>
      </c>
      <c r="F18" s="2">
        <v>13</v>
      </c>
      <c r="G18" s="15">
        <v>940.07</v>
      </c>
      <c r="H18" s="15">
        <v>12220.91</v>
      </c>
      <c r="I18" s="2">
        <v>10</v>
      </c>
      <c r="J18" s="15">
        <v>10998.82</v>
      </c>
      <c r="M18" s="7" t="s">
        <v>1060</v>
      </c>
      <c r="N18" s="7"/>
      <c r="O18" s="7"/>
      <c r="P18" s="7"/>
      <c r="Q18" s="20"/>
      <c r="R18" s="20"/>
    </row>
    <row r="19" spans="1:18" x14ac:dyDescent="0.3">
      <c r="A19" s="2" t="s">
        <v>46</v>
      </c>
      <c r="B19" s="3">
        <v>45892</v>
      </c>
      <c r="C19" s="2" t="s">
        <v>18</v>
      </c>
      <c r="D19" s="2" t="s">
        <v>12</v>
      </c>
      <c r="E19" s="2" t="s">
        <v>30</v>
      </c>
      <c r="F19" s="2">
        <v>17</v>
      </c>
      <c r="G19" s="15">
        <v>559.28</v>
      </c>
      <c r="H19" s="15">
        <v>9507.76</v>
      </c>
      <c r="I19" s="2">
        <v>5</v>
      </c>
      <c r="J19" s="15">
        <v>9032.3700000000008</v>
      </c>
      <c r="M19" t="str">
        <f>VLOOKUP(E3,E3:K1002,1,FALSE)</f>
        <v>Rice</v>
      </c>
    </row>
    <row r="20" spans="1:18" x14ac:dyDescent="0.3">
      <c r="A20" s="2" t="s">
        <v>47</v>
      </c>
      <c r="B20" s="3">
        <v>45955</v>
      </c>
      <c r="C20" s="2" t="s">
        <v>11</v>
      </c>
      <c r="D20" s="2" t="s">
        <v>32</v>
      </c>
      <c r="E20" s="2" t="s">
        <v>33</v>
      </c>
      <c r="F20" s="2">
        <v>19</v>
      </c>
      <c r="G20" s="15">
        <v>686.86</v>
      </c>
      <c r="H20" s="15">
        <v>13050.34</v>
      </c>
      <c r="I20" s="2">
        <v>10</v>
      </c>
      <c r="J20" s="15">
        <v>11745.31</v>
      </c>
    </row>
    <row r="21" spans="1:18" x14ac:dyDescent="0.3">
      <c r="A21" s="2" t="s">
        <v>48</v>
      </c>
      <c r="B21" s="3">
        <v>46103</v>
      </c>
      <c r="C21" s="2" t="s">
        <v>15</v>
      </c>
      <c r="D21" s="2" t="s">
        <v>16</v>
      </c>
      <c r="E21" s="2" t="s">
        <v>24</v>
      </c>
      <c r="F21" s="2">
        <v>9</v>
      </c>
      <c r="G21" s="15">
        <v>799.31</v>
      </c>
      <c r="H21" s="15">
        <v>7193.79</v>
      </c>
      <c r="I21" s="2">
        <v>15</v>
      </c>
      <c r="J21" s="15">
        <v>6114.72</v>
      </c>
    </row>
    <row r="22" spans="1:18" x14ac:dyDescent="0.3">
      <c r="A22" s="2" t="s">
        <v>49</v>
      </c>
      <c r="B22" s="3">
        <v>46047</v>
      </c>
      <c r="C22" s="2" t="s">
        <v>11</v>
      </c>
      <c r="D22" s="2" t="s">
        <v>44</v>
      </c>
      <c r="E22" s="2" t="s">
        <v>24</v>
      </c>
      <c r="F22" s="2">
        <v>14</v>
      </c>
      <c r="G22" s="15">
        <v>950.58</v>
      </c>
      <c r="H22" s="15">
        <v>13308.12</v>
      </c>
      <c r="I22" s="2">
        <v>10</v>
      </c>
      <c r="J22" s="15">
        <v>11977.31</v>
      </c>
    </row>
    <row r="23" spans="1:18" x14ac:dyDescent="0.3">
      <c r="A23" s="2" t="s">
        <v>50</v>
      </c>
      <c r="B23" s="3">
        <v>46069</v>
      </c>
      <c r="C23" s="2" t="s">
        <v>18</v>
      </c>
      <c r="D23" s="2" t="s">
        <v>19</v>
      </c>
      <c r="E23" s="2" t="s">
        <v>30</v>
      </c>
      <c r="F23" s="2">
        <v>9</v>
      </c>
      <c r="G23" s="15">
        <v>445.01</v>
      </c>
      <c r="H23" s="15">
        <v>4005.09</v>
      </c>
      <c r="I23" s="2">
        <v>20</v>
      </c>
      <c r="J23" s="15">
        <v>3204.07</v>
      </c>
    </row>
    <row r="24" spans="1:18" x14ac:dyDescent="0.3">
      <c r="A24" s="2" t="s">
        <v>51</v>
      </c>
      <c r="B24" s="3">
        <v>46162</v>
      </c>
      <c r="C24" s="2" t="s">
        <v>11</v>
      </c>
      <c r="D24" s="2" t="s">
        <v>52</v>
      </c>
      <c r="E24" s="2" t="s">
        <v>33</v>
      </c>
      <c r="F24" s="2">
        <v>12</v>
      </c>
      <c r="G24" s="15">
        <v>554.34</v>
      </c>
      <c r="H24" s="15">
        <v>6652.08</v>
      </c>
      <c r="I24" s="2">
        <v>5</v>
      </c>
      <c r="J24" s="15">
        <v>6319.48</v>
      </c>
    </row>
    <row r="25" spans="1:18" x14ac:dyDescent="0.3">
      <c r="A25" s="2" t="s">
        <v>53</v>
      </c>
      <c r="B25" s="3">
        <v>45836</v>
      </c>
      <c r="C25" s="2" t="s">
        <v>11</v>
      </c>
      <c r="D25" s="2" t="s">
        <v>23</v>
      </c>
      <c r="E25" s="2" t="s">
        <v>33</v>
      </c>
      <c r="F25" s="2">
        <v>17</v>
      </c>
      <c r="G25" s="15">
        <v>794.11</v>
      </c>
      <c r="H25" s="15">
        <v>13499.87</v>
      </c>
      <c r="I25" s="2">
        <v>20</v>
      </c>
      <c r="J25" s="15">
        <v>10799.9</v>
      </c>
    </row>
    <row r="26" spans="1:18" x14ac:dyDescent="0.3">
      <c r="A26" s="2" t="s">
        <v>54</v>
      </c>
      <c r="B26" s="3">
        <v>46008</v>
      </c>
      <c r="C26" s="2" t="s">
        <v>18</v>
      </c>
      <c r="D26" s="2" t="s">
        <v>12</v>
      </c>
      <c r="E26" s="2" t="s">
        <v>27</v>
      </c>
      <c r="F26" s="2">
        <v>9</v>
      </c>
      <c r="G26" s="15">
        <v>725.44</v>
      </c>
      <c r="H26" s="15">
        <v>6528.96</v>
      </c>
      <c r="I26" s="2">
        <v>15</v>
      </c>
      <c r="J26" s="15">
        <v>5549.62</v>
      </c>
    </row>
    <row r="27" spans="1:18" x14ac:dyDescent="0.3">
      <c r="A27" s="2" t="s">
        <v>55</v>
      </c>
      <c r="B27" s="3">
        <v>45960</v>
      </c>
      <c r="C27" s="2" t="s">
        <v>22</v>
      </c>
      <c r="D27" s="2" t="s">
        <v>52</v>
      </c>
      <c r="E27" s="2" t="s">
        <v>20</v>
      </c>
      <c r="F27" s="2">
        <v>7</v>
      </c>
      <c r="G27" s="15">
        <v>762.2</v>
      </c>
      <c r="H27" s="15">
        <v>5335.4</v>
      </c>
      <c r="I27" s="2">
        <v>10</v>
      </c>
      <c r="J27" s="15">
        <v>4801.8599999999997</v>
      </c>
    </row>
    <row r="28" spans="1:18" x14ac:dyDescent="0.3">
      <c r="A28" s="2" t="s">
        <v>56</v>
      </c>
      <c r="B28" s="3">
        <v>46163</v>
      </c>
      <c r="C28" s="2" t="s">
        <v>11</v>
      </c>
      <c r="D28" s="2" t="s">
        <v>29</v>
      </c>
      <c r="E28" s="2" t="s">
        <v>30</v>
      </c>
      <c r="F28" s="2">
        <v>20</v>
      </c>
      <c r="G28" s="15">
        <v>230.91</v>
      </c>
      <c r="H28" s="15">
        <v>4618.2</v>
      </c>
      <c r="I28" s="2">
        <v>5</v>
      </c>
      <c r="J28" s="15">
        <v>4387.29</v>
      </c>
    </row>
    <row r="29" spans="1:18" x14ac:dyDescent="0.3">
      <c r="A29" s="2" t="s">
        <v>57</v>
      </c>
      <c r="B29" s="3">
        <v>45801</v>
      </c>
      <c r="C29" s="2" t="s">
        <v>18</v>
      </c>
      <c r="D29" s="2" t="s">
        <v>29</v>
      </c>
      <c r="E29" s="2" t="s">
        <v>39</v>
      </c>
      <c r="F29" s="2">
        <v>20</v>
      </c>
      <c r="G29" s="15">
        <v>955.95</v>
      </c>
      <c r="H29" s="15">
        <v>19119</v>
      </c>
      <c r="I29" s="2">
        <v>5</v>
      </c>
      <c r="J29" s="15">
        <v>18163.05</v>
      </c>
    </row>
    <row r="30" spans="1:18" x14ac:dyDescent="0.3">
      <c r="A30" s="2" t="s">
        <v>58</v>
      </c>
      <c r="B30" s="3">
        <v>45986</v>
      </c>
      <c r="C30" s="2" t="s">
        <v>15</v>
      </c>
      <c r="D30" s="2" t="s">
        <v>44</v>
      </c>
      <c r="E30" s="2" t="s">
        <v>37</v>
      </c>
      <c r="F30" s="2">
        <v>5</v>
      </c>
      <c r="G30" s="15">
        <v>954.14</v>
      </c>
      <c r="H30" s="15">
        <v>4770.7</v>
      </c>
      <c r="I30" s="2">
        <v>10</v>
      </c>
      <c r="J30" s="15">
        <v>4293.63</v>
      </c>
    </row>
    <row r="31" spans="1:18" x14ac:dyDescent="0.3">
      <c r="A31" s="2" t="s">
        <v>59</v>
      </c>
      <c r="B31" s="3">
        <v>45921</v>
      </c>
      <c r="C31" s="2" t="s">
        <v>18</v>
      </c>
      <c r="D31" s="2" t="s">
        <v>60</v>
      </c>
      <c r="E31" s="2" t="s">
        <v>20</v>
      </c>
      <c r="F31" s="2">
        <v>17</v>
      </c>
      <c r="G31" s="15">
        <v>703.19</v>
      </c>
      <c r="H31" s="15">
        <v>11954.23</v>
      </c>
      <c r="I31" s="2">
        <v>10</v>
      </c>
      <c r="J31" s="15">
        <v>10758.81</v>
      </c>
    </row>
    <row r="32" spans="1:18" x14ac:dyDescent="0.3">
      <c r="A32" s="2" t="s">
        <v>61</v>
      </c>
      <c r="B32" s="3">
        <v>45948</v>
      </c>
      <c r="C32" s="2" t="s">
        <v>11</v>
      </c>
      <c r="D32" s="2" t="s">
        <v>23</v>
      </c>
      <c r="E32" s="2" t="s">
        <v>37</v>
      </c>
      <c r="F32" s="2">
        <v>15</v>
      </c>
      <c r="G32" s="15">
        <v>389.09</v>
      </c>
      <c r="H32" s="15">
        <v>5836.35</v>
      </c>
      <c r="I32" s="2">
        <v>20</v>
      </c>
      <c r="J32" s="15">
        <v>4669.08</v>
      </c>
    </row>
    <row r="33" spans="1:10" x14ac:dyDescent="0.3">
      <c r="A33" s="2" t="s">
        <v>62</v>
      </c>
      <c r="B33" s="3">
        <v>46133</v>
      </c>
      <c r="C33" s="2" t="s">
        <v>18</v>
      </c>
      <c r="D33" s="2" t="s">
        <v>16</v>
      </c>
      <c r="E33" s="2" t="s">
        <v>30</v>
      </c>
      <c r="F33" s="2">
        <v>9</v>
      </c>
      <c r="G33" s="15">
        <v>943.77</v>
      </c>
      <c r="H33" s="15">
        <v>8493.93</v>
      </c>
      <c r="I33" s="2">
        <v>10</v>
      </c>
      <c r="J33" s="15">
        <v>7644.54</v>
      </c>
    </row>
    <row r="34" spans="1:10" x14ac:dyDescent="0.3">
      <c r="A34" s="2" t="s">
        <v>63</v>
      </c>
      <c r="B34" s="3">
        <v>45913</v>
      </c>
      <c r="C34" s="2" t="s">
        <v>15</v>
      </c>
      <c r="D34" s="2" t="s">
        <v>29</v>
      </c>
      <c r="E34" s="2" t="s">
        <v>13</v>
      </c>
      <c r="F34" s="2">
        <v>17</v>
      </c>
      <c r="G34" s="15">
        <v>693.99</v>
      </c>
      <c r="H34" s="15">
        <v>11797.83</v>
      </c>
      <c r="I34" s="2">
        <v>20</v>
      </c>
      <c r="J34" s="15">
        <v>9438.26</v>
      </c>
    </row>
    <row r="35" spans="1:10" x14ac:dyDescent="0.3">
      <c r="A35" s="2" t="s">
        <v>64</v>
      </c>
      <c r="B35" s="3">
        <v>45912</v>
      </c>
      <c r="C35" s="2" t="s">
        <v>15</v>
      </c>
      <c r="D35" s="2" t="s">
        <v>32</v>
      </c>
      <c r="E35" s="2" t="s">
        <v>39</v>
      </c>
      <c r="F35" s="2">
        <v>13</v>
      </c>
      <c r="G35" s="15">
        <v>280.07</v>
      </c>
      <c r="H35" s="15">
        <v>3640.91</v>
      </c>
      <c r="I35" s="2">
        <v>0</v>
      </c>
      <c r="J35" s="15">
        <v>3640.91</v>
      </c>
    </row>
    <row r="36" spans="1:10" x14ac:dyDescent="0.3">
      <c r="A36" s="2" t="s">
        <v>65</v>
      </c>
      <c r="B36" s="3">
        <v>45938</v>
      </c>
      <c r="C36" s="2" t="s">
        <v>11</v>
      </c>
      <c r="D36" s="2" t="s">
        <v>44</v>
      </c>
      <c r="E36" s="2" t="s">
        <v>24</v>
      </c>
      <c r="F36" s="2">
        <v>20</v>
      </c>
      <c r="G36" s="15">
        <v>568.09</v>
      </c>
      <c r="H36" s="15">
        <v>11361.8</v>
      </c>
      <c r="I36" s="2">
        <v>0</v>
      </c>
      <c r="J36" s="15">
        <v>11361.8</v>
      </c>
    </row>
    <row r="37" spans="1:10" x14ac:dyDescent="0.3">
      <c r="A37" s="2" t="s">
        <v>66</v>
      </c>
      <c r="B37" s="3">
        <v>46025</v>
      </c>
      <c r="C37" s="2" t="s">
        <v>15</v>
      </c>
      <c r="D37" s="2" t="s">
        <v>19</v>
      </c>
      <c r="E37" s="2" t="s">
        <v>33</v>
      </c>
      <c r="F37" s="2">
        <v>19</v>
      </c>
      <c r="G37" s="15">
        <v>987.37</v>
      </c>
      <c r="H37" s="15">
        <v>18760.03</v>
      </c>
      <c r="I37" s="2">
        <v>0</v>
      </c>
      <c r="J37" s="15">
        <v>18760.03</v>
      </c>
    </row>
    <row r="38" spans="1:10" x14ac:dyDescent="0.3">
      <c r="A38" s="2" t="s">
        <v>67</v>
      </c>
      <c r="B38" s="3">
        <v>45976</v>
      </c>
      <c r="C38" s="2" t="s">
        <v>18</v>
      </c>
      <c r="D38" s="2" t="s">
        <v>19</v>
      </c>
      <c r="E38" s="2" t="s">
        <v>24</v>
      </c>
      <c r="F38" s="2">
        <v>13</v>
      </c>
      <c r="G38" s="15">
        <v>586.25</v>
      </c>
      <c r="H38" s="15">
        <v>7621.25</v>
      </c>
      <c r="I38" s="2">
        <v>10</v>
      </c>
      <c r="J38" s="15">
        <v>6859.12</v>
      </c>
    </row>
    <row r="39" spans="1:10" x14ac:dyDescent="0.3">
      <c r="A39" s="2" t="s">
        <v>68</v>
      </c>
      <c r="B39" s="3">
        <v>45951</v>
      </c>
      <c r="C39" s="2" t="s">
        <v>15</v>
      </c>
      <c r="D39" s="2" t="s">
        <v>29</v>
      </c>
      <c r="E39" s="2" t="s">
        <v>33</v>
      </c>
      <c r="F39" s="2">
        <v>20</v>
      </c>
      <c r="G39" s="15">
        <v>744.88</v>
      </c>
      <c r="H39" s="15">
        <v>14897.6</v>
      </c>
      <c r="I39" s="2">
        <v>20</v>
      </c>
      <c r="J39" s="15">
        <v>11918.08</v>
      </c>
    </row>
    <row r="40" spans="1:10" x14ac:dyDescent="0.3">
      <c r="A40" s="2" t="s">
        <v>69</v>
      </c>
      <c r="B40" s="3">
        <v>45859</v>
      </c>
      <c r="C40" s="2" t="s">
        <v>15</v>
      </c>
      <c r="D40" s="2" t="s">
        <v>26</v>
      </c>
      <c r="E40" s="2" t="s">
        <v>20</v>
      </c>
      <c r="F40" s="2">
        <v>10</v>
      </c>
      <c r="G40" s="15">
        <v>433.08</v>
      </c>
      <c r="H40" s="15">
        <v>4330.8</v>
      </c>
      <c r="I40" s="2">
        <v>5</v>
      </c>
      <c r="J40" s="15">
        <v>4114.26</v>
      </c>
    </row>
    <row r="41" spans="1:10" x14ac:dyDescent="0.3">
      <c r="A41" s="2" t="s">
        <v>70</v>
      </c>
      <c r="B41" s="3">
        <v>45815</v>
      </c>
      <c r="C41" s="2" t="s">
        <v>18</v>
      </c>
      <c r="D41" s="2" t="s">
        <v>32</v>
      </c>
      <c r="E41" s="2" t="s">
        <v>24</v>
      </c>
      <c r="F41" s="2">
        <v>15</v>
      </c>
      <c r="G41" s="15">
        <v>587.91999999999996</v>
      </c>
      <c r="H41" s="15">
        <v>8818.7999999999993</v>
      </c>
      <c r="I41" s="2">
        <v>0</v>
      </c>
      <c r="J41" s="15">
        <v>8818.7999999999993</v>
      </c>
    </row>
    <row r="42" spans="1:10" x14ac:dyDescent="0.3">
      <c r="A42" s="2" t="s">
        <v>71</v>
      </c>
      <c r="B42" s="3">
        <v>45801</v>
      </c>
      <c r="C42" s="2" t="s">
        <v>22</v>
      </c>
      <c r="D42" s="2" t="s">
        <v>19</v>
      </c>
      <c r="E42" s="2" t="s">
        <v>30</v>
      </c>
      <c r="F42" s="2">
        <v>11</v>
      </c>
      <c r="G42" s="15">
        <v>69.53</v>
      </c>
      <c r="H42" s="15">
        <v>764.83</v>
      </c>
      <c r="I42" s="2">
        <v>15</v>
      </c>
      <c r="J42" s="15">
        <v>650.11</v>
      </c>
    </row>
    <row r="43" spans="1:10" x14ac:dyDescent="0.3">
      <c r="A43" s="2" t="s">
        <v>72</v>
      </c>
      <c r="B43" s="3">
        <v>46045</v>
      </c>
      <c r="C43" s="2" t="s">
        <v>22</v>
      </c>
      <c r="D43" s="2" t="s">
        <v>26</v>
      </c>
      <c r="E43" s="2" t="s">
        <v>20</v>
      </c>
      <c r="F43" s="2">
        <v>16</v>
      </c>
      <c r="G43" s="15">
        <v>570.42999999999995</v>
      </c>
      <c r="H43" s="15">
        <v>9126.8799999999992</v>
      </c>
      <c r="I43" s="2">
        <v>0</v>
      </c>
      <c r="J43" s="15">
        <v>9126.8799999999992</v>
      </c>
    </row>
    <row r="44" spans="1:10" x14ac:dyDescent="0.3">
      <c r="A44" s="2" t="s">
        <v>73</v>
      </c>
      <c r="B44" s="3">
        <v>46074</v>
      </c>
      <c r="C44" s="2" t="s">
        <v>11</v>
      </c>
      <c r="D44" s="2" t="s">
        <v>23</v>
      </c>
      <c r="E44" s="2" t="s">
        <v>13</v>
      </c>
      <c r="F44" s="2">
        <v>18</v>
      </c>
      <c r="G44" s="15">
        <v>453.87</v>
      </c>
      <c r="H44" s="15">
        <v>8169.66</v>
      </c>
      <c r="I44" s="2">
        <v>0</v>
      </c>
      <c r="J44" s="15">
        <v>8169.66</v>
      </c>
    </row>
    <row r="45" spans="1:10" x14ac:dyDescent="0.3">
      <c r="A45" s="2" t="s">
        <v>74</v>
      </c>
      <c r="B45" s="3">
        <v>45809</v>
      </c>
      <c r="C45" s="2" t="s">
        <v>11</v>
      </c>
      <c r="D45" s="2" t="s">
        <v>32</v>
      </c>
      <c r="E45" s="2" t="s">
        <v>33</v>
      </c>
      <c r="F45" s="2">
        <v>18</v>
      </c>
      <c r="G45" s="15">
        <v>697.39</v>
      </c>
      <c r="H45" s="15">
        <v>12553.02</v>
      </c>
      <c r="I45" s="2">
        <v>0</v>
      </c>
      <c r="J45" s="15">
        <v>12553.02</v>
      </c>
    </row>
    <row r="46" spans="1:10" x14ac:dyDescent="0.3">
      <c r="A46" s="2" t="s">
        <v>75</v>
      </c>
      <c r="B46" s="3">
        <v>45928</v>
      </c>
      <c r="C46" s="2" t="s">
        <v>15</v>
      </c>
      <c r="D46" s="2" t="s">
        <v>26</v>
      </c>
      <c r="E46" s="2" t="s">
        <v>76</v>
      </c>
      <c r="F46" s="2">
        <v>18</v>
      </c>
      <c r="G46" s="15">
        <v>210.1</v>
      </c>
      <c r="H46" s="15">
        <v>3781.8</v>
      </c>
      <c r="I46" s="2">
        <v>10</v>
      </c>
      <c r="J46" s="15">
        <v>3403.62</v>
      </c>
    </row>
    <row r="47" spans="1:10" x14ac:dyDescent="0.3">
      <c r="A47" s="2" t="s">
        <v>77</v>
      </c>
      <c r="B47" s="3">
        <v>45859</v>
      </c>
      <c r="C47" s="2" t="s">
        <v>15</v>
      </c>
      <c r="D47" s="2" t="s">
        <v>23</v>
      </c>
      <c r="E47" s="2" t="s">
        <v>27</v>
      </c>
      <c r="F47" s="2">
        <v>12</v>
      </c>
      <c r="G47" s="15">
        <v>702.52</v>
      </c>
      <c r="H47" s="15">
        <v>8430.24</v>
      </c>
      <c r="I47" s="2">
        <v>5</v>
      </c>
      <c r="J47" s="15">
        <v>8008.73</v>
      </c>
    </row>
    <row r="48" spans="1:10" x14ac:dyDescent="0.3">
      <c r="A48" s="2" t="s">
        <v>78</v>
      </c>
      <c r="B48" s="3">
        <v>46164</v>
      </c>
      <c r="C48" s="2" t="s">
        <v>15</v>
      </c>
      <c r="D48" s="2" t="s">
        <v>44</v>
      </c>
      <c r="E48" s="2" t="s">
        <v>39</v>
      </c>
      <c r="F48" s="2">
        <v>10</v>
      </c>
      <c r="G48" s="15">
        <v>201.31</v>
      </c>
      <c r="H48" s="15">
        <v>2013.1</v>
      </c>
      <c r="I48" s="2">
        <v>5</v>
      </c>
      <c r="J48" s="15">
        <v>1912.44</v>
      </c>
    </row>
    <row r="49" spans="1:10" x14ac:dyDescent="0.3">
      <c r="A49" s="2" t="s">
        <v>79</v>
      </c>
      <c r="B49" s="3">
        <v>46039</v>
      </c>
      <c r="C49" s="2" t="s">
        <v>22</v>
      </c>
      <c r="D49" s="2" t="s">
        <v>19</v>
      </c>
      <c r="E49" s="2" t="s">
        <v>20</v>
      </c>
      <c r="F49" s="2">
        <v>2</v>
      </c>
      <c r="G49" s="15">
        <v>722.11</v>
      </c>
      <c r="H49" s="15">
        <v>1444.22</v>
      </c>
      <c r="I49" s="2">
        <v>0</v>
      </c>
      <c r="J49" s="15">
        <v>1444.22</v>
      </c>
    </row>
    <row r="50" spans="1:10" x14ac:dyDescent="0.3">
      <c r="A50" s="2" t="s">
        <v>80</v>
      </c>
      <c r="B50" s="3">
        <v>46084</v>
      </c>
      <c r="C50" s="2" t="s">
        <v>11</v>
      </c>
      <c r="D50" s="2" t="s">
        <v>16</v>
      </c>
      <c r="E50" s="2" t="s">
        <v>30</v>
      </c>
      <c r="F50" s="2">
        <v>6</v>
      </c>
      <c r="G50" s="15">
        <v>729.79</v>
      </c>
      <c r="H50" s="15">
        <v>4378.74</v>
      </c>
      <c r="I50" s="2">
        <v>10</v>
      </c>
      <c r="J50" s="15">
        <v>3940.87</v>
      </c>
    </row>
    <row r="51" spans="1:10" x14ac:dyDescent="0.3">
      <c r="A51" s="2" t="s">
        <v>81</v>
      </c>
      <c r="B51" s="3">
        <v>46024</v>
      </c>
      <c r="C51" s="2" t="s">
        <v>15</v>
      </c>
      <c r="D51" s="2" t="s">
        <v>26</v>
      </c>
      <c r="E51" s="2" t="s">
        <v>24</v>
      </c>
      <c r="F51" s="2">
        <v>20</v>
      </c>
      <c r="G51" s="15">
        <v>445.68</v>
      </c>
      <c r="H51" s="15">
        <v>8913.6</v>
      </c>
      <c r="I51" s="2">
        <v>10</v>
      </c>
      <c r="J51" s="15">
        <v>8022.24</v>
      </c>
    </row>
    <row r="52" spans="1:10" x14ac:dyDescent="0.3">
      <c r="A52" s="2" t="s">
        <v>82</v>
      </c>
      <c r="B52" s="3">
        <v>45904</v>
      </c>
      <c r="C52" s="2" t="s">
        <v>22</v>
      </c>
      <c r="D52" s="2" t="s">
        <v>44</v>
      </c>
      <c r="E52" s="2" t="s">
        <v>27</v>
      </c>
      <c r="F52" s="2">
        <v>20</v>
      </c>
      <c r="G52" s="15">
        <v>971.34</v>
      </c>
      <c r="H52" s="15">
        <v>19426.8</v>
      </c>
      <c r="I52" s="2">
        <v>10</v>
      </c>
      <c r="J52" s="15">
        <v>17484.12</v>
      </c>
    </row>
    <row r="53" spans="1:10" x14ac:dyDescent="0.3">
      <c r="A53" s="2" t="s">
        <v>83</v>
      </c>
      <c r="B53" s="3">
        <v>46068</v>
      </c>
      <c r="C53" s="2" t="s">
        <v>11</v>
      </c>
      <c r="D53" s="2" t="s">
        <v>60</v>
      </c>
      <c r="E53" s="2" t="s">
        <v>76</v>
      </c>
      <c r="F53" s="2">
        <v>17</v>
      </c>
      <c r="G53" s="15">
        <v>255.87</v>
      </c>
      <c r="H53" s="15">
        <v>4349.79</v>
      </c>
      <c r="I53" s="2">
        <v>15</v>
      </c>
      <c r="J53" s="15">
        <v>3697.32</v>
      </c>
    </row>
    <row r="54" spans="1:10" x14ac:dyDescent="0.3">
      <c r="A54" s="2" t="s">
        <v>84</v>
      </c>
      <c r="B54" s="3">
        <v>46127</v>
      </c>
      <c r="C54" s="2" t="s">
        <v>18</v>
      </c>
      <c r="D54" s="2" t="s">
        <v>60</v>
      </c>
      <c r="E54" s="2" t="s">
        <v>13</v>
      </c>
      <c r="F54" s="2">
        <v>18</v>
      </c>
      <c r="G54" s="15">
        <v>476.12</v>
      </c>
      <c r="H54" s="15">
        <v>8570.16</v>
      </c>
      <c r="I54" s="2">
        <v>5</v>
      </c>
      <c r="J54" s="15">
        <v>8141.65</v>
      </c>
    </row>
    <row r="55" spans="1:10" x14ac:dyDescent="0.3">
      <c r="A55" s="2" t="s">
        <v>85</v>
      </c>
      <c r="B55" s="3">
        <v>46041</v>
      </c>
      <c r="C55" s="2" t="s">
        <v>11</v>
      </c>
      <c r="D55" s="2" t="s">
        <v>60</v>
      </c>
      <c r="E55" s="2" t="s">
        <v>76</v>
      </c>
      <c r="F55" s="2">
        <v>11</v>
      </c>
      <c r="G55" s="15">
        <v>863.91</v>
      </c>
      <c r="H55" s="15">
        <v>9503.01</v>
      </c>
      <c r="I55" s="2">
        <v>5</v>
      </c>
      <c r="J55" s="15">
        <v>9027.86</v>
      </c>
    </row>
    <row r="56" spans="1:10" x14ac:dyDescent="0.3">
      <c r="A56" s="2" t="s">
        <v>86</v>
      </c>
      <c r="B56" s="3">
        <v>45966</v>
      </c>
      <c r="C56" s="2" t="s">
        <v>15</v>
      </c>
      <c r="D56" s="2" t="s">
        <v>29</v>
      </c>
      <c r="E56" s="2" t="s">
        <v>87</v>
      </c>
      <c r="F56" s="2">
        <v>5</v>
      </c>
      <c r="G56" s="15">
        <v>832.5</v>
      </c>
      <c r="H56" s="15">
        <v>4162.5</v>
      </c>
      <c r="I56" s="2">
        <v>20</v>
      </c>
      <c r="J56" s="15">
        <v>3330</v>
      </c>
    </row>
    <row r="57" spans="1:10" x14ac:dyDescent="0.3">
      <c r="A57" s="2" t="s">
        <v>88</v>
      </c>
      <c r="B57" s="3">
        <v>46020</v>
      </c>
      <c r="C57" s="2" t="s">
        <v>18</v>
      </c>
      <c r="D57" s="2" t="s">
        <v>23</v>
      </c>
      <c r="E57" s="2" t="s">
        <v>20</v>
      </c>
      <c r="F57" s="2">
        <v>14</v>
      </c>
      <c r="G57" s="15">
        <v>607.37</v>
      </c>
      <c r="H57" s="15">
        <v>8503.18</v>
      </c>
      <c r="I57" s="2">
        <v>15</v>
      </c>
      <c r="J57" s="15">
        <v>7227.7</v>
      </c>
    </row>
    <row r="58" spans="1:10" x14ac:dyDescent="0.3">
      <c r="A58" s="2" t="s">
        <v>89</v>
      </c>
      <c r="B58" s="3">
        <v>45884</v>
      </c>
      <c r="C58" s="2" t="s">
        <v>22</v>
      </c>
      <c r="D58" s="2" t="s">
        <v>44</v>
      </c>
      <c r="E58" s="2" t="s">
        <v>37</v>
      </c>
      <c r="F58" s="2">
        <v>8</v>
      </c>
      <c r="G58" s="15">
        <v>433.54</v>
      </c>
      <c r="H58" s="15">
        <v>3468.32</v>
      </c>
      <c r="I58" s="2">
        <v>0</v>
      </c>
      <c r="J58" s="15">
        <v>3468.32</v>
      </c>
    </row>
    <row r="59" spans="1:10" x14ac:dyDescent="0.3">
      <c r="A59" s="2" t="s">
        <v>90</v>
      </c>
      <c r="B59" s="3">
        <v>46137</v>
      </c>
      <c r="C59" s="2" t="s">
        <v>22</v>
      </c>
      <c r="D59" s="2" t="s">
        <v>29</v>
      </c>
      <c r="E59" s="2" t="s">
        <v>33</v>
      </c>
      <c r="F59" s="2">
        <v>5</v>
      </c>
      <c r="G59" s="15">
        <v>896.94</v>
      </c>
      <c r="H59" s="15">
        <v>4484.7</v>
      </c>
      <c r="I59" s="2">
        <v>20</v>
      </c>
      <c r="J59" s="15">
        <v>3587.76</v>
      </c>
    </row>
    <row r="60" spans="1:10" x14ac:dyDescent="0.3">
      <c r="A60" s="2" t="s">
        <v>91</v>
      </c>
      <c r="B60" s="3">
        <v>45835</v>
      </c>
      <c r="C60" s="2" t="s">
        <v>18</v>
      </c>
      <c r="D60" s="2" t="s">
        <v>60</v>
      </c>
      <c r="E60" s="2" t="s">
        <v>24</v>
      </c>
      <c r="F60" s="2">
        <v>16</v>
      </c>
      <c r="G60" s="15">
        <v>307.95999999999998</v>
      </c>
      <c r="H60" s="15">
        <v>4927.3599999999997</v>
      </c>
      <c r="I60" s="2">
        <v>10</v>
      </c>
      <c r="J60" s="15">
        <v>4434.62</v>
      </c>
    </row>
    <row r="61" spans="1:10" x14ac:dyDescent="0.3">
      <c r="A61" s="2" t="s">
        <v>92</v>
      </c>
      <c r="B61" s="3">
        <v>45987</v>
      </c>
      <c r="C61" s="2" t="s">
        <v>22</v>
      </c>
      <c r="D61" s="2" t="s">
        <v>23</v>
      </c>
      <c r="E61" s="2" t="s">
        <v>33</v>
      </c>
      <c r="F61" s="2">
        <v>18</v>
      </c>
      <c r="G61" s="15">
        <v>721.5</v>
      </c>
      <c r="H61" s="15">
        <v>12987</v>
      </c>
      <c r="I61" s="2">
        <v>20</v>
      </c>
      <c r="J61" s="15">
        <v>10389.6</v>
      </c>
    </row>
    <row r="62" spans="1:10" x14ac:dyDescent="0.3">
      <c r="A62" s="2" t="s">
        <v>93</v>
      </c>
      <c r="B62" s="3">
        <v>45995</v>
      </c>
      <c r="C62" s="2" t="s">
        <v>11</v>
      </c>
      <c r="D62" s="2" t="s">
        <v>23</v>
      </c>
      <c r="E62" s="2" t="s">
        <v>27</v>
      </c>
      <c r="F62" s="2">
        <v>14</v>
      </c>
      <c r="G62" s="15">
        <v>268.33999999999997</v>
      </c>
      <c r="H62" s="15">
        <v>3756.76</v>
      </c>
      <c r="I62" s="2">
        <v>20</v>
      </c>
      <c r="J62" s="15">
        <v>3005.41</v>
      </c>
    </row>
    <row r="63" spans="1:10" x14ac:dyDescent="0.3">
      <c r="A63" s="2" t="s">
        <v>94</v>
      </c>
      <c r="B63" s="3">
        <v>46114</v>
      </c>
      <c r="C63" s="2" t="s">
        <v>22</v>
      </c>
      <c r="D63" s="2" t="s">
        <v>19</v>
      </c>
      <c r="E63" s="2" t="s">
        <v>27</v>
      </c>
      <c r="F63" s="2">
        <v>7</v>
      </c>
      <c r="G63" s="15">
        <v>978.46</v>
      </c>
      <c r="H63" s="15">
        <v>6849.22</v>
      </c>
      <c r="I63" s="2">
        <v>20</v>
      </c>
      <c r="J63" s="15">
        <v>5479.38</v>
      </c>
    </row>
    <row r="64" spans="1:10" x14ac:dyDescent="0.3">
      <c r="A64" s="2" t="s">
        <v>95</v>
      </c>
      <c r="B64" s="3">
        <v>45992</v>
      </c>
      <c r="C64" s="2" t="s">
        <v>11</v>
      </c>
      <c r="D64" s="2" t="s">
        <v>52</v>
      </c>
      <c r="E64" s="2" t="s">
        <v>87</v>
      </c>
      <c r="F64" s="2">
        <v>9</v>
      </c>
      <c r="G64" s="15">
        <v>406.21</v>
      </c>
      <c r="H64" s="15">
        <v>3655.89</v>
      </c>
      <c r="I64" s="2">
        <v>5</v>
      </c>
      <c r="J64" s="15">
        <v>3473.1</v>
      </c>
    </row>
    <row r="65" spans="1:10" x14ac:dyDescent="0.3">
      <c r="A65" s="2" t="s">
        <v>96</v>
      </c>
      <c r="B65" s="3">
        <v>45979</v>
      </c>
      <c r="C65" s="2" t="s">
        <v>22</v>
      </c>
      <c r="D65" s="2" t="s">
        <v>16</v>
      </c>
      <c r="E65" s="2" t="s">
        <v>39</v>
      </c>
      <c r="F65" s="2">
        <v>1</v>
      </c>
      <c r="G65" s="15">
        <v>411.8</v>
      </c>
      <c r="H65" s="15">
        <v>411.8</v>
      </c>
      <c r="I65" s="2">
        <v>20</v>
      </c>
      <c r="J65" s="15">
        <v>329.44</v>
      </c>
    </row>
    <row r="66" spans="1:10" x14ac:dyDescent="0.3">
      <c r="A66" s="2" t="s">
        <v>97</v>
      </c>
      <c r="B66" s="3">
        <v>46080</v>
      </c>
      <c r="C66" s="2" t="s">
        <v>11</v>
      </c>
      <c r="D66" s="2" t="s">
        <v>19</v>
      </c>
      <c r="E66" s="2" t="s">
        <v>20</v>
      </c>
      <c r="F66" s="2">
        <v>9</v>
      </c>
      <c r="G66" s="15">
        <v>929.51</v>
      </c>
      <c r="H66" s="15">
        <v>8365.59</v>
      </c>
      <c r="I66" s="2">
        <v>10</v>
      </c>
      <c r="J66" s="15">
        <v>7529.03</v>
      </c>
    </row>
    <row r="67" spans="1:10" x14ac:dyDescent="0.3">
      <c r="A67" s="2" t="s">
        <v>98</v>
      </c>
      <c r="B67" s="3">
        <v>45959</v>
      </c>
      <c r="C67" s="2" t="s">
        <v>15</v>
      </c>
      <c r="D67" s="2" t="s">
        <v>32</v>
      </c>
      <c r="E67" s="2" t="s">
        <v>20</v>
      </c>
      <c r="F67" s="2">
        <v>3</v>
      </c>
      <c r="G67" s="15">
        <v>185.41</v>
      </c>
      <c r="H67" s="15">
        <v>556.23</v>
      </c>
      <c r="I67" s="2">
        <v>15</v>
      </c>
      <c r="J67" s="15">
        <v>472.8</v>
      </c>
    </row>
    <row r="68" spans="1:10" x14ac:dyDescent="0.3">
      <c r="A68" s="2" t="s">
        <v>99</v>
      </c>
      <c r="B68" s="3">
        <v>46090</v>
      </c>
      <c r="C68" s="2" t="s">
        <v>11</v>
      </c>
      <c r="D68" s="2" t="s">
        <v>44</v>
      </c>
      <c r="E68" s="2" t="s">
        <v>30</v>
      </c>
      <c r="F68" s="2">
        <v>9</v>
      </c>
      <c r="G68" s="15">
        <v>101.61</v>
      </c>
      <c r="H68" s="15">
        <v>914.49</v>
      </c>
      <c r="I68" s="2">
        <v>20</v>
      </c>
      <c r="J68" s="15">
        <v>731.59</v>
      </c>
    </row>
    <row r="69" spans="1:10" x14ac:dyDescent="0.3">
      <c r="A69" s="2" t="s">
        <v>100</v>
      </c>
      <c r="B69" s="3">
        <v>46042</v>
      </c>
      <c r="C69" s="2" t="s">
        <v>18</v>
      </c>
      <c r="D69" s="2" t="s">
        <v>26</v>
      </c>
      <c r="E69" s="2" t="s">
        <v>39</v>
      </c>
      <c r="F69" s="2">
        <v>7</v>
      </c>
      <c r="G69" s="15">
        <v>613.37</v>
      </c>
      <c r="H69" s="15">
        <v>4293.59</v>
      </c>
      <c r="I69" s="2">
        <v>0</v>
      </c>
      <c r="J69" s="15">
        <v>4293.59</v>
      </c>
    </row>
    <row r="70" spans="1:10" x14ac:dyDescent="0.3">
      <c r="A70" s="2" t="s">
        <v>101</v>
      </c>
      <c r="B70" s="3">
        <v>46160</v>
      </c>
      <c r="C70" s="2" t="s">
        <v>22</v>
      </c>
      <c r="D70" s="2" t="s">
        <v>16</v>
      </c>
      <c r="E70" s="2" t="s">
        <v>33</v>
      </c>
      <c r="F70" s="2">
        <v>1</v>
      </c>
      <c r="G70" s="15">
        <v>61.78</v>
      </c>
      <c r="H70" s="15">
        <v>61.78</v>
      </c>
      <c r="I70" s="2">
        <v>10</v>
      </c>
      <c r="J70" s="15">
        <v>55.6</v>
      </c>
    </row>
    <row r="71" spans="1:10" x14ac:dyDescent="0.3">
      <c r="A71" s="2" t="s">
        <v>102</v>
      </c>
      <c r="B71" s="3">
        <v>45840</v>
      </c>
      <c r="C71" s="2" t="s">
        <v>15</v>
      </c>
      <c r="D71" s="2" t="s">
        <v>19</v>
      </c>
      <c r="E71" s="2" t="s">
        <v>27</v>
      </c>
      <c r="F71" s="2">
        <v>18</v>
      </c>
      <c r="G71" s="15">
        <v>632.61</v>
      </c>
      <c r="H71" s="15">
        <v>11386.98</v>
      </c>
      <c r="I71" s="2">
        <v>20</v>
      </c>
      <c r="J71" s="15">
        <v>9109.58</v>
      </c>
    </row>
    <row r="72" spans="1:10" x14ac:dyDescent="0.3">
      <c r="A72" s="2" t="s">
        <v>103</v>
      </c>
      <c r="B72" s="3">
        <v>45874</v>
      </c>
      <c r="C72" s="2" t="s">
        <v>18</v>
      </c>
      <c r="D72" s="2" t="s">
        <v>32</v>
      </c>
      <c r="E72" s="2" t="s">
        <v>39</v>
      </c>
      <c r="F72" s="2">
        <v>5</v>
      </c>
      <c r="G72" s="15">
        <v>225.14</v>
      </c>
      <c r="H72" s="15">
        <v>1125.7</v>
      </c>
      <c r="I72" s="2">
        <v>5</v>
      </c>
      <c r="J72" s="15">
        <v>1069.4100000000001</v>
      </c>
    </row>
    <row r="73" spans="1:10" x14ac:dyDescent="0.3">
      <c r="A73" s="2" t="s">
        <v>104</v>
      </c>
      <c r="B73" s="3">
        <v>45918</v>
      </c>
      <c r="C73" s="2" t="s">
        <v>15</v>
      </c>
      <c r="D73" s="2" t="s">
        <v>60</v>
      </c>
      <c r="E73" s="2" t="s">
        <v>33</v>
      </c>
      <c r="F73" s="2">
        <v>5</v>
      </c>
      <c r="G73" s="15">
        <v>229.31</v>
      </c>
      <c r="H73" s="15">
        <v>1146.55</v>
      </c>
      <c r="I73" s="2">
        <v>10</v>
      </c>
      <c r="J73" s="15">
        <v>1031.8900000000001</v>
      </c>
    </row>
    <row r="74" spans="1:10" x14ac:dyDescent="0.3">
      <c r="A74" s="2" t="s">
        <v>105</v>
      </c>
      <c r="B74" s="3">
        <v>46065</v>
      </c>
      <c r="C74" s="2" t="s">
        <v>11</v>
      </c>
      <c r="D74" s="2" t="s">
        <v>16</v>
      </c>
      <c r="E74" s="2" t="s">
        <v>39</v>
      </c>
      <c r="F74" s="2">
        <v>8</v>
      </c>
      <c r="G74" s="15">
        <v>111.21</v>
      </c>
      <c r="H74" s="15">
        <v>889.68</v>
      </c>
      <c r="I74" s="2">
        <v>5</v>
      </c>
      <c r="J74" s="15">
        <v>845.2</v>
      </c>
    </row>
    <row r="75" spans="1:10" x14ac:dyDescent="0.3">
      <c r="A75" s="2" t="s">
        <v>106</v>
      </c>
      <c r="B75" s="3">
        <v>45957</v>
      </c>
      <c r="C75" s="2" t="s">
        <v>15</v>
      </c>
      <c r="D75" s="2" t="s">
        <v>52</v>
      </c>
      <c r="E75" s="2" t="s">
        <v>13</v>
      </c>
      <c r="F75" s="2">
        <v>18</v>
      </c>
      <c r="G75" s="15">
        <v>260.62</v>
      </c>
      <c r="H75" s="15">
        <v>4691.16</v>
      </c>
      <c r="I75" s="2">
        <v>10</v>
      </c>
      <c r="J75" s="15">
        <v>4222.04</v>
      </c>
    </row>
    <row r="76" spans="1:10" x14ac:dyDescent="0.3">
      <c r="A76" s="2" t="s">
        <v>107</v>
      </c>
      <c r="B76" s="3">
        <v>45864</v>
      </c>
      <c r="C76" s="2" t="s">
        <v>18</v>
      </c>
      <c r="D76" s="2" t="s">
        <v>12</v>
      </c>
      <c r="E76" s="2" t="s">
        <v>37</v>
      </c>
      <c r="F76" s="2">
        <v>16</v>
      </c>
      <c r="G76" s="15">
        <v>57.45</v>
      </c>
      <c r="H76" s="15">
        <v>919.2</v>
      </c>
      <c r="I76" s="2">
        <v>0</v>
      </c>
      <c r="J76" s="15">
        <v>919.2</v>
      </c>
    </row>
    <row r="77" spans="1:10" x14ac:dyDescent="0.3">
      <c r="A77" s="2" t="s">
        <v>108</v>
      </c>
      <c r="B77" s="3">
        <v>46076</v>
      </c>
      <c r="C77" s="2" t="s">
        <v>11</v>
      </c>
      <c r="D77" s="2" t="s">
        <v>52</v>
      </c>
      <c r="E77" s="2" t="s">
        <v>39</v>
      </c>
      <c r="F77" s="2">
        <v>13</v>
      </c>
      <c r="G77" s="15">
        <v>422.78</v>
      </c>
      <c r="H77" s="15">
        <v>5496.14</v>
      </c>
      <c r="I77" s="2">
        <v>0</v>
      </c>
      <c r="J77" s="15">
        <v>5496.14</v>
      </c>
    </row>
    <row r="78" spans="1:10" x14ac:dyDescent="0.3">
      <c r="A78" s="2" t="s">
        <v>109</v>
      </c>
      <c r="B78" s="3">
        <v>45996</v>
      </c>
      <c r="C78" s="2" t="s">
        <v>15</v>
      </c>
      <c r="D78" s="2" t="s">
        <v>32</v>
      </c>
      <c r="E78" s="2" t="s">
        <v>27</v>
      </c>
      <c r="F78" s="2">
        <v>19</v>
      </c>
      <c r="G78" s="15">
        <v>279.25</v>
      </c>
      <c r="H78" s="15">
        <v>5305.75</v>
      </c>
      <c r="I78" s="2">
        <v>5</v>
      </c>
      <c r="J78" s="15">
        <v>5040.46</v>
      </c>
    </row>
    <row r="79" spans="1:10" x14ac:dyDescent="0.3">
      <c r="A79" s="2" t="s">
        <v>110</v>
      </c>
      <c r="B79" s="3">
        <v>46159</v>
      </c>
      <c r="C79" s="2" t="s">
        <v>18</v>
      </c>
      <c r="D79" s="2" t="s">
        <v>26</v>
      </c>
      <c r="E79" s="2" t="s">
        <v>76</v>
      </c>
      <c r="F79" s="2">
        <v>1</v>
      </c>
      <c r="G79" s="15">
        <v>307.45999999999998</v>
      </c>
      <c r="H79" s="15">
        <v>307.45999999999998</v>
      </c>
      <c r="I79" s="2">
        <v>0</v>
      </c>
      <c r="J79" s="15">
        <v>307.45999999999998</v>
      </c>
    </row>
    <row r="80" spans="1:10" x14ac:dyDescent="0.3">
      <c r="A80" s="2" t="s">
        <v>111</v>
      </c>
      <c r="B80" s="3">
        <v>45826</v>
      </c>
      <c r="C80" s="2" t="s">
        <v>18</v>
      </c>
      <c r="D80" s="2" t="s">
        <v>19</v>
      </c>
      <c r="E80" s="2" t="s">
        <v>27</v>
      </c>
      <c r="F80" s="2">
        <v>14</v>
      </c>
      <c r="G80" s="15">
        <v>493.32</v>
      </c>
      <c r="H80" s="15">
        <v>6906.48</v>
      </c>
      <c r="I80" s="2">
        <v>15</v>
      </c>
      <c r="J80" s="15">
        <v>5870.51</v>
      </c>
    </row>
    <row r="81" spans="1:10" x14ac:dyDescent="0.3">
      <c r="A81" s="2" t="s">
        <v>112</v>
      </c>
      <c r="B81" s="3">
        <v>46115</v>
      </c>
      <c r="C81" s="2" t="s">
        <v>15</v>
      </c>
      <c r="D81" s="2" t="s">
        <v>32</v>
      </c>
      <c r="E81" s="2" t="s">
        <v>30</v>
      </c>
      <c r="F81" s="2">
        <v>20</v>
      </c>
      <c r="G81" s="15">
        <v>341.34</v>
      </c>
      <c r="H81" s="15">
        <v>6826.8</v>
      </c>
      <c r="I81" s="2">
        <v>10</v>
      </c>
      <c r="J81" s="15">
        <v>6144.12</v>
      </c>
    </row>
    <row r="82" spans="1:10" x14ac:dyDescent="0.3">
      <c r="A82" s="2" t="s">
        <v>113</v>
      </c>
      <c r="B82" s="3">
        <v>45849</v>
      </c>
      <c r="C82" s="2" t="s">
        <v>11</v>
      </c>
      <c r="D82" s="2" t="s">
        <v>52</v>
      </c>
      <c r="E82" s="2" t="s">
        <v>20</v>
      </c>
      <c r="F82" s="2">
        <v>8</v>
      </c>
      <c r="G82" s="15">
        <v>236.62</v>
      </c>
      <c r="H82" s="15">
        <v>1892.96</v>
      </c>
      <c r="I82" s="2">
        <v>20</v>
      </c>
      <c r="J82" s="15">
        <v>1514.37</v>
      </c>
    </row>
    <row r="83" spans="1:10" x14ac:dyDescent="0.3">
      <c r="A83" s="2" t="s">
        <v>114</v>
      </c>
      <c r="B83" s="3">
        <v>46053</v>
      </c>
      <c r="C83" s="2" t="s">
        <v>18</v>
      </c>
      <c r="D83" s="2" t="s">
        <v>26</v>
      </c>
      <c r="E83" s="2" t="s">
        <v>39</v>
      </c>
      <c r="F83" s="2">
        <v>11</v>
      </c>
      <c r="G83" s="15">
        <v>874.22</v>
      </c>
      <c r="H83" s="15">
        <v>9616.42</v>
      </c>
      <c r="I83" s="2">
        <v>10</v>
      </c>
      <c r="J83" s="15">
        <v>8654.7800000000007</v>
      </c>
    </row>
    <row r="84" spans="1:10" x14ac:dyDescent="0.3">
      <c r="A84" s="2" t="s">
        <v>115</v>
      </c>
      <c r="B84" s="3">
        <v>46153</v>
      </c>
      <c r="C84" s="2" t="s">
        <v>15</v>
      </c>
      <c r="D84" s="2" t="s">
        <v>26</v>
      </c>
      <c r="E84" s="2" t="s">
        <v>33</v>
      </c>
      <c r="F84" s="2">
        <v>17</v>
      </c>
      <c r="G84" s="15">
        <v>391.7</v>
      </c>
      <c r="H84" s="15">
        <v>6658.9</v>
      </c>
      <c r="I84" s="2">
        <v>0</v>
      </c>
      <c r="J84" s="15">
        <v>6658.9</v>
      </c>
    </row>
    <row r="85" spans="1:10" x14ac:dyDescent="0.3">
      <c r="A85" s="2" t="s">
        <v>116</v>
      </c>
      <c r="B85" s="3">
        <v>45972</v>
      </c>
      <c r="C85" s="2" t="s">
        <v>22</v>
      </c>
      <c r="D85" s="2" t="s">
        <v>44</v>
      </c>
      <c r="E85" s="2" t="s">
        <v>33</v>
      </c>
      <c r="F85" s="2">
        <v>14</v>
      </c>
      <c r="G85" s="15">
        <v>303.01</v>
      </c>
      <c r="H85" s="15">
        <v>4242.1400000000003</v>
      </c>
      <c r="I85" s="2">
        <v>5</v>
      </c>
      <c r="J85" s="15">
        <v>4030.03</v>
      </c>
    </row>
    <row r="86" spans="1:10" x14ac:dyDescent="0.3">
      <c r="A86" s="2" t="s">
        <v>117</v>
      </c>
      <c r="B86" s="3">
        <v>45832</v>
      </c>
      <c r="C86" s="2" t="s">
        <v>18</v>
      </c>
      <c r="D86" s="2" t="s">
        <v>23</v>
      </c>
      <c r="E86" s="2" t="s">
        <v>37</v>
      </c>
      <c r="F86" s="2">
        <v>16</v>
      </c>
      <c r="G86" s="15">
        <v>304.64</v>
      </c>
      <c r="H86" s="15">
        <v>4874.24</v>
      </c>
      <c r="I86" s="2">
        <v>10</v>
      </c>
      <c r="J86" s="15">
        <v>4386.82</v>
      </c>
    </row>
    <row r="87" spans="1:10" x14ac:dyDescent="0.3">
      <c r="A87" s="2" t="s">
        <v>118</v>
      </c>
      <c r="B87" s="3">
        <v>45859</v>
      </c>
      <c r="C87" s="2" t="s">
        <v>11</v>
      </c>
      <c r="D87" s="2" t="s">
        <v>52</v>
      </c>
      <c r="E87" s="2" t="s">
        <v>87</v>
      </c>
      <c r="F87" s="2">
        <v>17</v>
      </c>
      <c r="G87" s="15">
        <v>374.53</v>
      </c>
      <c r="H87" s="15">
        <v>6367.01</v>
      </c>
      <c r="I87" s="2">
        <v>20</v>
      </c>
      <c r="J87" s="15">
        <v>5093.6099999999997</v>
      </c>
    </row>
    <row r="88" spans="1:10" x14ac:dyDescent="0.3">
      <c r="A88" s="2" t="s">
        <v>119</v>
      </c>
      <c r="B88" s="3">
        <v>46100</v>
      </c>
      <c r="C88" s="2" t="s">
        <v>11</v>
      </c>
      <c r="D88" s="2" t="s">
        <v>23</v>
      </c>
      <c r="E88" s="2" t="s">
        <v>87</v>
      </c>
      <c r="F88" s="2">
        <v>11</v>
      </c>
      <c r="G88" s="15">
        <v>70.91</v>
      </c>
      <c r="H88" s="15">
        <v>780.01</v>
      </c>
      <c r="I88" s="2">
        <v>5</v>
      </c>
      <c r="J88" s="15">
        <v>741.01</v>
      </c>
    </row>
    <row r="89" spans="1:10" x14ac:dyDescent="0.3">
      <c r="A89" s="2" t="s">
        <v>120</v>
      </c>
      <c r="B89" s="3">
        <v>45994</v>
      </c>
      <c r="C89" s="2" t="s">
        <v>18</v>
      </c>
      <c r="D89" s="2" t="s">
        <v>44</v>
      </c>
      <c r="E89" s="2" t="s">
        <v>39</v>
      </c>
      <c r="F89" s="2">
        <v>14</v>
      </c>
      <c r="G89" s="15">
        <v>306.27</v>
      </c>
      <c r="H89" s="15">
        <v>4287.78</v>
      </c>
      <c r="I89" s="2">
        <v>15</v>
      </c>
      <c r="J89" s="15">
        <v>3644.61</v>
      </c>
    </row>
    <row r="90" spans="1:10" x14ac:dyDescent="0.3">
      <c r="A90" s="2" t="s">
        <v>121</v>
      </c>
      <c r="B90" s="3">
        <v>45847</v>
      </c>
      <c r="C90" s="2" t="s">
        <v>15</v>
      </c>
      <c r="D90" s="2" t="s">
        <v>26</v>
      </c>
      <c r="E90" s="2" t="s">
        <v>76</v>
      </c>
      <c r="F90" s="2">
        <v>17</v>
      </c>
      <c r="G90" s="15">
        <v>427.98</v>
      </c>
      <c r="H90" s="15">
        <v>7275.66</v>
      </c>
      <c r="I90" s="2">
        <v>20</v>
      </c>
      <c r="J90" s="15">
        <v>5820.53</v>
      </c>
    </row>
    <row r="91" spans="1:10" x14ac:dyDescent="0.3">
      <c r="A91" s="2" t="s">
        <v>122</v>
      </c>
      <c r="B91" s="3">
        <v>46021</v>
      </c>
      <c r="C91" s="2" t="s">
        <v>18</v>
      </c>
      <c r="D91" s="2" t="s">
        <v>12</v>
      </c>
      <c r="E91" s="2" t="s">
        <v>76</v>
      </c>
      <c r="F91" s="2">
        <v>13</v>
      </c>
      <c r="G91" s="15">
        <v>599.05999999999995</v>
      </c>
      <c r="H91" s="15">
        <v>7787.78</v>
      </c>
      <c r="I91" s="2">
        <v>0</v>
      </c>
      <c r="J91" s="15">
        <v>7787.78</v>
      </c>
    </row>
    <row r="92" spans="1:10" x14ac:dyDescent="0.3">
      <c r="A92" s="2" t="s">
        <v>123</v>
      </c>
      <c r="B92" s="3">
        <v>46111</v>
      </c>
      <c r="C92" s="2" t="s">
        <v>15</v>
      </c>
      <c r="D92" s="2" t="s">
        <v>26</v>
      </c>
      <c r="E92" s="2" t="s">
        <v>87</v>
      </c>
      <c r="F92" s="2">
        <v>5</v>
      </c>
      <c r="G92" s="15">
        <v>164.44</v>
      </c>
      <c r="H92" s="15">
        <v>822.2</v>
      </c>
      <c r="I92" s="2">
        <v>20</v>
      </c>
      <c r="J92" s="15">
        <v>657.76</v>
      </c>
    </row>
    <row r="93" spans="1:10" x14ac:dyDescent="0.3">
      <c r="A93" s="2" t="s">
        <v>124</v>
      </c>
      <c r="B93" s="3">
        <v>45928</v>
      </c>
      <c r="C93" s="2" t="s">
        <v>18</v>
      </c>
      <c r="D93" s="2" t="s">
        <v>16</v>
      </c>
      <c r="E93" s="2" t="s">
        <v>24</v>
      </c>
      <c r="F93" s="2">
        <v>20</v>
      </c>
      <c r="G93" s="15">
        <v>182.59</v>
      </c>
      <c r="H93" s="15">
        <v>3651.8</v>
      </c>
      <c r="I93" s="2">
        <v>15</v>
      </c>
      <c r="J93" s="15">
        <v>3104.03</v>
      </c>
    </row>
    <row r="94" spans="1:10" x14ac:dyDescent="0.3">
      <c r="A94" s="2" t="s">
        <v>125</v>
      </c>
      <c r="B94" s="3">
        <v>45839</v>
      </c>
      <c r="C94" s="2" t="s">
        <v>18</v>
      </c>
      <c r="D94" s="2" t="s">
        <v>52</v>
      </c>
      <c r="E94" s="2" t="s">
        <v>76</v>
      </c>
      <c r="F94" s="2">
        <v>15</v>
      </c>
      <c r="G94" s="15">
        <v>109.95</v>
      </c>
      <c r="H94" s="15">
        <v>1649.25</v>
      </c>
      <c r="I94" s="2">
        <v>10</v>
      </c>
      <c r="J94" s="15">
        <v>1484.33</v>
      </c>
    </row>
    <row r="95" spans="1:10" x14ac:dyDescent="0.3">
      <c r="A95" s="2" t="s">
        <v>126</v>
      </c>
      <c r="B95" s="3">
        <v>45825</v>
      </c>
      <c r="C95" s="2" t="s">
        <v>11</v>
      </c>
      <c r="D95" s="2" t="s">
        <v>23</v>
      </c>
      <c r="E95" s="2" t="s">
        <v>27</v>
      </c>
      <c r="F95" s="2">
        <v>9</v>
      </c>
      <c r="G95" s="15">
        <v>146.31</v>
      </c>
      <c r="H95" s="15">
        <v>1316.79</v>
      </c>
      <c r="I95" s="2">
        <v>10</v>
      </c>
      <c r="J95" s="15">
        <v>1185.1099999999999</v>
      </c>
    </row>
    <row r="96" spans="1:10" x14ac:dyDescent="0.3">
      <c r="A96" s="2" t="s">
        <v>127</v>
      </c>
      <c r="B96" s="3">
        <v>46004</v>
      </c>
      <c r="C96" s="2" t="s">
        <v>18</v>
      </c>
      <c r="D96" s="2" t="s">
        <v>16</v>
      </c>
      <c r="E96" s="2" t="s">
        <v>87</v>
      </c>
      <c r="F96" s="2">
        <v>6</v>
      </c>
      <c r="G96" s="15">
        <v>897.96</v>
      </c>
      <c r="H96" s="15">
        <v>5387.76</v>
      </c>
      <c r="I96" s="2">
        <v>5</v>
      </c>
      <c r="J96" s="15">
        <v>5118.37</v>
      </c>
    </row>
    <row r="97" spans="1:10" x14ac:dyDescent="0.3">
      <c r="A97" s="2" t="s">
        <v>128</v>
      </c>
      <c r="B97" s="3">
        <v>46087</v>
      </c>
      <c r="C97" s="2" t="s">
        <v>18</v>
      </c>
      <c r="D97" s="2" t="s">
        <v>23</v>
      </c>
      <c r="E97" s="2" t="s">
        <v>20</v>
      </c>
      <c r="F97" s="2">
        <v>2</v>
      </c>
      <c r="G97" s="15">
        <v>169.42</v>
      </c>
      <c r="H97" s="15">
        <v>338.84</v>
      </c>
      <c r="I97" s="2">
        <v>20</v>
      </c>
      <c r="J97" s="15">
        <v>271.07</v>
      </c>
    </row>
    <row r="98" spans="1:10" x14ac:dyDescent="0.3">
      <c r="A98" s="2" t="s">
        <v>129</v>
      </c>
      <c r="B98" s="3">
        <v>46009</v>
      </c>
      <c r="C98" s="2" t="s">
        <v>18</v>
      </c>
      <c r="D98" s="2" t="s">
        <v>19</v>
      </c>
      <c r="E98" s="2" t="s">
        <v>37</v>
      </c>
      <c r="F98" s="2">
        <v>5</v>
      </c>
      <c r="G98" s="15">
        <v>992.54</v>
      </c>
      <c r="H98" s="15">
        <v>4962.7</v>
      </c>
      <c r="I98" s="2">
        <v>5</v>
      </c>
      <c r="J98" s="15">
        <v>4714.5600000000004</v>
      </c>
    </row>
    <row r="99" spans="1:10" x14ac:dyDescent="0.3">
      <c r="A99" s="2" t="s">
        <v>130</v>
      </c>
      <c r="B99" s="3">
        <v>45959</v>
      </c>
      <c r="C99" s="2" t="s">
        <v>11</v>
      </c>
      <c r="D99" s="2" t="s">
        <v>52</v>
      </c>
      <c r="E99" s="2" t="s">
        <v>24</v>
      </c>
      <c r="F99" s="2">
        <v>8</v>
      </c>
      <c r="G99" s="15">
        <v>862.12</v>
      </c>
      <c r="H99" s="15">
        <v>6896.96</v>
      </c>
      <c r="I99" s="2">
        <v>20</v>
      </c>
      <c r="J99" s="15">
        <v>5517.57</v>
      </c>
    </row>
    <row r="100" spans="1:10" x14ac:dyDescent="0.3">
      <c r="A100" s="2" t="s">
        <v>131</v>
      </c>
      <c r="B100" s="3">
        <v>45857</v>
      </c>
      <c r="C100" s="2" t="s">
        <v>15</v>
      </c>
      <c r="D100" s="2" t="s">
        <v>19</v>
      </c>
      <c r="E100" s="2" t="s">
        <v>37</v>
      </c>
      <c r="F100" s="2">
        <v>7</v>
      </c>
      <c r="G100" s="15">
        <v>726.84</v>
      </c>
      <c r="H100" s="15">
        <v>5087.88</v>
      </c>
      <c r="I100" s="2">
        <v>15</v>
      </c>
      <c r="J100" s="15">
        <v>4324.7</v>
      </c>
    </row>
    <row r="101" spans="1:10" x14ac:dyDescent="0.3">
      <c r="A101" s="2" t="s">
        <v>132</v>
      </c>
      <c r="B101" s="3">
        <v>45893</v>
      </c>
      <c r="C101" s="2" t="s">
        <v>22</v>
      </c>
      <c r="D101" s="2" t="s">
        <v>44</v>
      </c>
      <c r="E101" s="2" t="s">
        <v>76</v>
      </c>
      <c r="F101" s="2">
        <v>14</v>
      </c>
      <c r="G101" s="15">
        <v>113.19</v>
      </c>
      <c r="H101" s="15">
        <v>1584.66</v>
      </c>
      <c r="I101" s="2">
        <v>5</v>
      </c>
      <c r="J101" s="15">
        <v>1505.43</v>
      </c>
    </row>
    <row r="102" spans="1:10" x14ac:dyDescent="0.3">
      <c r="A102" s="2" t="s">
        <v>133</v>
      </c>
      <c r="B102" s="3">
        <v>46118</v>
      </c>
      <c r="C102" s="2" t="s">
        <v>18</v>
      </c>
      <c r="D102" s="2" t="s">
        <v>23</v>
      </c>
      <c r="E102" s="2" t="s">
        <v>13</v>
      </c>
      <c r="F102" s="2">
        <v>4</v>
      </c>
      <c r="G102" s="15">
        <v>201.46</v>
      </c>
      <c r="H102" s="15">
        <v>805.84</v>
      </c>
      <c r="I102" s="2">
        <v>5</v>
      </c>
      <c r="J102" s="15">
        <v>765.55</v>
      </c>
    </row>
    <row r="103" spans="1:10" x14ac:dyDescent="0.3">
      <c r="A103" s="2" t="s">
        <v>134</v>
      </c>
      <c r="B103" s="3">
        <v>45885</v>
      </c>
      <c r="C103" s="2" t="s">
        <v>15</v>
      </c>
      <c r="D103" s="2" t="s">
        <v>29</v>
      </c>
      <c r="E103" s="2" t="s">
        <v>13</v>
      </c>
      <c r="F103" s="2">
        <v>10</v>
      </c>
      <c r="G103" s="15">
        <v>993.5</v>
      </c>
      <c r="H103" s="15">
        <v>9935</v>
      </c>
      <c r="I103" s="2">
        <v>0</v>
      </c>
      <c r="J103" s="15">
        <v>9935</v>
      </c>
    </row>
    <row r="104" spans="1:10" x14ac:dyDescent="0.3">
      <c r="A104" s="2" t="s">
        <v>135</v>
      </c>
      <c r="B104" s="3">
        <v>45991</v>
      </c>
      <c r="C104" s="2" t="s">
        <v>22</v>
      </c>
      <c r="D104" s="2" t="s">
        <v>16</v>
      </c>
      <c r="E104" s="2" t="s">
        <v>24</v>
      </c>
      <c r="F104" s="2">
        <v>13</v>
      </c>
      <c r="G104" s="15">
        <v>266.02</v>
      </c>
      <c r="H104" s="15">
        <v>3458.26</v>
      </c>
      <c r="I104" s="2">
        <v>10</v>
      </c>
      <c r="J104" s="15">
        <v>3112.43</v>
      </c>
    </row>
    <row r="105" spans="1:10" x14ac:dyDescent="0.3">
      <c r="A105" s="2" t="s">
        <v>136</v>
      </c>
      <c r="B105" s="3">
        <v>46037</v>
      </c>
      <c r="C105" s="2" t="s">
        <v>15</v>
      </c>
      <c r="D105" s="2" t="s">
        <v>60</v>
      </c>
      <c r="E105" s="2" t="s">
        <v>20</v>
      </c>
      <c r="F105" s="2">
        <v>2</v>
      </c>
      <c r="G105" s="15">
        <v>570.12</v>
      </c>
      <c r="H105" s="15">
        <v>1140.24</v>
      </c>
      <c r="I105" s="2">
        <v>20</v>
      </c>
      <c r="J105" s="15">
        <v>912.19</v>
      </c>
    </row>
    <row r="106" spans="1:10" x14ac:dyDescent="0.3">
      <c r="A106" s="2" t="s">
        <v>137</v>
      </c>
      <c r="B106" s="3">
        <v>46115</v>
      </c>
      <c r="C106" s="2" t="s">
        <v>11</v>
      </c>
      <c r="D106" s="2" t="s">
        <v>29</v>
      </c>
      <c r="E106" s="2" t="s">
        <v>33</v>
      </c>
      <c r="F106" s="2">
        <v>9</v>
      </c>
      <c r="G106" s="15">
        <v>199.12</v>
      </c>
      <c r="H106" s="15">
        <v>1792.08</v>
      </c>
      <c r="I106" s="2">
        <v>20</v>
      </c>
      <c r="J106" s="15">
        <v>1433.66</v>
      </c>
    </row>
    <row r="107" spans="1:10" x14ac:dyDescent="0.3">
      <c r="A107" s="2" t="s">
        <v>138</v>
      </c>
      <c r="B107" s="3">
        <v>46013</v>
      </c>
      <c r="C107" s="2" t="s">
        <v>15</v>
      </c>
      <c r="D107" s="2" t="s">
        <v>52</v>
      </c>
      <c r="E107" s="2" t="s">
        <v>27</v>
      </c>
      <c r="F107" s="2">
        <v>15</v>
      </c>
      <c r="G107" s="15">
        <v>415.91</v>
      </c>
      <c r="H107" s="15">
        <v>6238.65</v>
      </c>
      <c r="I107" s="2">
        <v>0</v>
      </c>
      <c r="J107" s="15">
        <v>6238.65</v>
      </c>
    </row>
    <row r="108" spans="1:10" x14ac:dyDescent="0.3">
      <c r="A108" s="2" t="s">
        <v>139</v>
      </c>
      <c r="B108" s="3">
        <v>46129</v>
      </c>
      <c r="C108" s="2" t="s">
        <v>22</v>
      </c>
      <c r="D108" s="2" t="s">
        <v>44</v>
      </c>
      <c r="E108" s="2" t="s">
        <v>24</v>
      </c>
      <c r="F108" s="2">
        <v>6</v>
      </c>
      <c r="G108" s="15">
        <v>247.95</v>
      </c>
      <c r="H108" s="15">
        <v>1487.7</v>
      </c>
      <c r="I108" s="2">
        <v>0</v>
      </c>
      <c r="J108" s="15">
        <v>1487.7</v>
      </c>
    </row>
    <row r="109" spans="1:10" x14ac:dyDescent="0.3">
      <c r="A109" s="2" t="s">
        <v>140</v>
      </c>
      <c r="B109" s="3">
        <v>45953</v>
      </c>
      <c r="C109" s="2" t="s">
        <v>18</v>
      </c>
      <c r="D109" s="2" t="s">
        <v>16</v>
      </c>
      <c r="E109" s="2" t="s">
        <v>20</v>
      </c>
      <c r="F109" s="2">
        <v>5</v>
      </c>
      <c r="G109" s="15">
        <v>886.88</v>
      </c>
      <c r="H109" s="15">
        <v>4434.3999999999996</v>
      </c>
      <c r="I109" s="2">
        <v>10</v>
      </c>
      <c r="J109" s="15">
        <v>3990.96</v>
      </c>
    </row>
    <row r="110" spans="1:10" x14ac:dyDescent="0.3">
      <c r="A110" s="2" t="s">
        <v>141</v>
      </c>
      <c r="B110" s="3">
        <v>46141</v>
      </c>
      <c r="C110" s="2" t="s">
        <v>22</v>
      </c>
      <c r="D110" s="2" t="s">
        <v>29</v>
      </c>
      <c r="E110" s="2" t="s">
        <v>33</v>
      </c>
      <c r="F110" s="2">
        <v>18</v>
      </c>
      <c r="G110" s="15">
        <v>668.64</v>
      </c>
      <c r="H110" s="15">
        <v>12035.52</v>
      </c>
      <c r="I110" s="2">
        <v>15</v>
      </c>
      <c r="J110" s="15">
        <v>10230.19</v>
      </c>
    </row>
    <row r="111" spans="1:10" x14ac:dyDescent="0.3">
      <c r="A111" s="2" t="s">
        <v>142</v>
      </c>
      <c r="B111" s="3">
        <v>45957</v>
      </c>
      <c r="C111" s="2" t="s">
        <v>22</v>
      </c>
      <c r="D111" s="2" t="s">
        <v>52</v>
      </c>
      <c r="E111" s="2" t="s">
        <v>13</v>
      </c>
      <c r="F111" s="2">
        <v>7</v>
      </c>
      <c r="G111" s="15">
        <v>307.55</v>
      </c>
      <c r="H111" s="15">
        <v>2152.85</v>
      </c>
      <c r="I111" s="2">
        <v>0</v>
      </c>
      <c r="J111" s="15">
        <v>2152.85</v>
      </c>
    </row>
    <row r="112" spans="1:10" x14ac:dyDescent="0.3">
      <c r="A112" s="2" t="s">
        <v>143</v>
      </c>
      <c r="B112" s="3">
        <v>45805</v>
      </c>
      <c r="C112" s="2" t="s">
        <v>11</v>
      </c>
      <c r="D112" s="2" t="s">
        <v>26</v>
      </c>
      <c r="E112" s="2" t="s">
        <v>24</v>
      </c>
      <c r="F112" s="2">
        <v>8</v>
      </c>
      <c r="G112" s="15">
        <v>872.43</v>
      </c>
      <c r="H112" s="15">
        <v>6979.44</v>
      </c>
      <c r="I112" s="2">
        <v>15</v>
      </c>
      <c r="J112" s="15">
        <v>5932.52</v>
      </c>
    </row>
    <row r="113" spans="1:10" x14ac:dyDescent="0.3">
      <c r="A113" s="2" t="s">
        <v>144</v>
      </c>
      <c r="B113" s="3">
        <v>46038</v>
      </c>
      <c r="C113" s="2" t="s">
        <v>11</v>
      </c>
      <c r="D113" s="2" t="s">
        <v>60</v>
      </c>
      <c r="E113" s="2" t="s">
        <v>33</v>
      </c>
      <c r="F113" s="2">
        <v>3</v>
      </c>
      <c r="G113" s="15">
        <v>649.07000000000005</v>
      </c>
      <c r="H113" s="15">
        <v>1947.21</v>
      </c>
      <c r="I113" s="2">
        <v>20</v>
      </c>
      <c r="J113" s="15">
        <v>1557.77</v>
      </c>
    </row>
    <row r="114" spans="1:10" x14ac:dyDescent="0.3">
      <c r="A114" s="2" t="s">
        <v>145</v>
      </c>
      <c r="B114" s="3">
        <v>46061</v>
      </c>
      <c r="C114" s="2" t="s">
        <v>11</v>
      </c>
      <c r="D114" s="2" t="s">
        <v>52</v>
      </c>
      <c r="E114" s="2" t="s">
        <v>20</v>
      </c>
      <c r="F114" s="2">
        <v>13</v>
      </c>
      <c r="G114" s="15">
        <v>313.8</v>
      </c>
      <c r="H114" s="15">
        <v>4079.4</v>
      </c>
      <c r="I114" s="2">
        <v>5</v>
      </c>
      <c r="J114" s="15">
        <v>3875.43</v>
      </c>
    </row>
    <row r="115" spans="1:10" x14ac:dyDescent="0.3">
      <c r="A115" s="2" t="s">
        <v>146</v>
      </c>
      <c r="B115" s="3">
        <v>45843</v>
      </c>
      <c r="C115" s="2" t="s">
        <v>11</v>
      </c>
      <c r="D115" s="2" t="s">
        <v>52</v>
      </c>
      <c r="E115" s="2" t="s">
        <v>39</v>
      </c>
      <c r="F115" s="2">
        <v>10</v>
      </c>
      <c r="G115" s="15">
        <v>786.48</v>
      </c>
      <c r="H115" s="15">
        <v>7864.8</v>
      </c>
      <c r="I115" s="2">
        <v>10</v>
      </c>
      <c r="J115" s="15">
        <v>7078.32</v>
      </c>
    </row>
    <row r="116" spans="1:10" x14ac:dyDescent="0.3">
      <c r="A116" s="2" t="s">
        <v>147</v>
      </c>
      <c r="B116" s="3">
        <v>46123</v>
      </c>
      <c r="C116" s="2" t="s">
        <v>22</v>
      </c>
      <c r="D116" s="2" t="s">
        <v>12</v>
      </c>
      <c r="E116" s="2" t="s">
        <v>13</v>
      </c>
      <c r="F116" s="2">
        <v>12</v>
      </c>
      <c r="G116" s="15">
        <v>926.75</v>
      </c>
      <c r="H116" s="15">
        <v>11121</v>
      </c>
      <c r="I116" s="2">
        <v>20</v>
      </c>
      <c r="J116" s="15">
        <v>8896.7999999999993</v>
      </c>
    </row>
    <row r="117" spans="1:10" x14ac:dyDescent="0.3">
      <c r="A117" s="2" t="s">
        <v>148</v>
      </c>
      <c r="B117" s="3">
        <v>45972</v>
      </c>
      <c r="C117" s="2" t="s">
        <v>11</v>
      </c>
      <c r="D117" s="2" t="s">
        <v>60</v>
      </c>
      <c r="E117" s="2" t="s">
        <v>24</v>
      </c>
      <c r="F117" s="2">
        <v>19</v>
      </c>
      <c r="G117" s="15">
        <v>312.2</v>
      </c>
      <c r="H117" s="15">
        <v>5931.8</v>
      </c>
      <c r="I117" s="2">
        <v>10</v>
      </c>
      <c r="J117" s="15">
        <v>5338.62</v>
      </c>
    </row>
    <row r="118" spans="1:10" x14ac:dyDescent="0.3">
      <c r="A118" s="2" t="s">
        <v>149</v>
      </c>
      <c r="B118" s="3">
        <v>46115</v>
      </c>
      <c r="C118" s="2" t="s">
        <v>18</v>
      </c>
      <c r="D118" s="2" t="s">
        <v>32</v>
      </c>
      <c r="E118" s="2" t="s">
        <v>37</v>
      </c>
      <c r="F118" s="2">
        <v>4</v>
      </c>
      <c r="G118" s="15">
        <v>620.04999999999995</v>
      </c>
      <c r="H118" s="15">
        <v>2480.1999999999998</v>
      </c>
      <c r="I118" s="2">
        <v>0</v>
      </c>
      <c r="J118" s="15">
        <v>2480.1999999999998</v>
      </c>
    </row>
    <row r="119" spans="1:10" x14ac:dyDescent="0.3">
      <c r="A119" s="2" t="s">
        <v>150</v>
      </c>
      <c r="B119" s="3">
        <v>46042</v>
      </c>
      <c r="C119" s="2" t="s">
        <v>18</v>
      </c>
      <c r="D119" s="2" t="s">
        <v>52</v>
      </c>
      <c r="E119" s="2" t="s">
        <v>37</v>
      </c>
      <c r="F119" s="2">
        <v>15</v>
      </c>
      <c r="G119" s="15">
        <v>56.1</v>
      </c>
      <c r="H119" s="15">
        <v>841.5</v>
      </c>
      <c r="I119" s="2">
        <v>5</v>
      </c>
      <c r="J119" s="15">
        <v>799.42</v>
      </c>
    </row>
    <row r="120" spans="1:10" x14ac:dyDescent="0.3">
      <c r="A120" s="2" t="s">
        <v>151</v>
      </c>
      <c r="B120" s="3">
        <v>46159</v>
      </c>
      <c r="C120" s="2" t="s">
        <v>18</v>
      </c>
      <c r="D120" s="2" t="s">
        <v>60</v>
      </c>
      <c r="E120" s="2" t="s">
        <v>87</v>
      </c>
      <c r="F120" s="2">
        <v>8</v>
      </c>
      <c r="G120" s="15">
        <v>565.85</v>
      </c>
      <c r="H120" s="15">
        <v>4526.8</v>
      </c>
      <c r="I120" s="2">
        <v>20</v>
      </c>
      <c r="J120" s="15">
        <v>3621.44</v>
      </c>
    </row>
    <row r="121" spans="1:10" x14ac:dyDescent="0.3">
      <c r="A121" s="2" t="s">
        <v>152</v>
      </c>
      <c r="B121" s="3">
        <v>46158</v>
      </c>
      <c r="C121" s="2" t="s">
        <v>11</v>
      </c>
      <c r="D121" s="2" t="s">
        <v>12</v>
      </c>
      <c r="E121" s="2" t="s">
        <v>33</v>
      </c>
      <c r="F121" s="2">
        <v>13</v>
      </c>
      <c r="G121" s="15">
        <v>411.46</v>
      </c>
      <c r="H121" s="15">
        <v>5348.98</v>
      </c>
      <c r="I121" s="2">
        <v>10</v>
      </c>
      <c r="J121" s="15">
        <v>4814.08</v>
      </c>
    </row>
    <row r="122" spans="1:10" x14ac:dyDescent="0.3">
      <c r="A122" s="2" t="s">
        <v>153</v>
      </c>
      <c r="B122" s="3">
        <v>45885</v>
      </c>
      <c r="C122" s="2" t="s">
        <v>22</v>
      </c>
      <c r="D122" s="2" t="s">
        <v>23</v>
      </c>
      <c r="E122" s="2" t="s">
        <v>33</v>
      </c>
      <c r="F122" s="2">
        <v>20</v>
      </c>
      <c r="G122" s="15">
        <v>918.16</v>
      </c>
      <c r="H122" s="15">
        <v>18363.2</v>
      </c>
      <c r="I122" s="2">
        <v>20</v>
      </c>
      <c r="J122" s="15">
        <v>14690.56</v>
      </c>
    </row>
    <row r="123" spans="1:10" x14ac:dyDescent="0.3">
      <c r="A123" s="2" t="s">
        <v>154</v>
      </c>
      <c r="B123" s="3">
        <v>46069</v>
      </c>
      <c r="C123" s="2" t="s">
        <v>11</v>
      </c>
      <c r="D123" s="2" t="s">
        <v>29</v>
      </c>
      <c r="E123" s="2" t="s">
        <v>33</v>
      </c>
      <c r="F123" s="2">
        <v>15</v>
      </c>
      <c r="G123" s="15">
        <v>243.65</v>
      </c>
      <c r="H123" s="15">
        <v>3654.75</v>
      </c>
      <c r="I123" s="2">
        <v>20</v>
      </c>
      <c r="J123" s="15">
        <v>2923.8</v>
      </c>
    </row>
    <row r="124" spans="1:10" x14ac:dyDescent="0.3">
      <c r="A124" s="2" t="s">
        <v>155</v>
      </c>
      <c r="B124" s="3">
        <v>46157</v>
      </c>
      <c r="C124" s="2" t="s">
        <v>11</v>
      </c>
      <c r="D124" s="2" t="s">
        <v>12</v>
      </c>
      <c r="E124" s="2" t="s">
        <v>76</v>
      </c>
      <c r="F124" s="2">
        <v>18</v>
      </c>
      <c r="G124" s="15">
        <v>330.24</v>
      </c>
      <c r="H124" s="15">
        <v>5944.32</v>
      </c>
      <c r="I124" s="2">
        <v>10</v>
      </c>
      <c r="J124" s="15">
        <v>5349.89</v>
      </c>
    </row>
    <row r="125" spans="1:10" x14ac:dyDescent="0.3">
      <c r="A125" s="2" t="s">
        <v>156</v>
      </c>
      <c r="B125" s="3">
        <v>45812</v>
      </c>
      <c r="C125" s="2" t="s">
        <v>22</v>
      </c>
      <c r="D125" s="2" t="s">
        <v>29</v>
      </c>
      <c r="E125" s="2" t="s">
        <v>27</v>
      </c>
      <c r="F125" s="2">
        <v>3</v>
      </c>
      <c r="G125" s="15">
        <v>905.78</v>
      </c>
      <c r="H125" s="15">
        <v>2717.34</v>
      </c>
      <c r="I125" s="2">
        <v>10</v>
      </c>
      <c r="J125" s="15">
        <v>2445.61</v>
      </c>
    </row>
    <row r="126" spans="1:10" x14ac:dyDescent="0.3">
      <c r="A126" s="2" t="s">
        <v>157</v>
      </c>
      <c r="B126" s="3">
        <v>45980</v>
      </c>
      <c r="C126" s="2" t="s">
        <v>15</v>
      </c>
      <c r="D126" s="2" t="s">
        <v>23</v>
      </c>
      <c r="E126" s="2" t="s">
        <v>76</v>
      </c>
      <c r="F126" s="2">
        <v>18</v>
      </c>
      <c r="G126" s="15">
        <v>932.74</v>
      </c>
      <c r="H126" s="15">
        <v>16789.32</v>
      </c>
      <c r="I126" s="2">
        <v>0</v>
      </c>
      <c r="J126" s="15">
        <v>16789.32</v>
      </c>
    </row>
    <row r="127" spans="1:10" x14ac:dyDescent="0.3">
      <c r="A127" s="2" t="s">
        <v>158</v>
      </c>
      <c r="B127" s="3">
        <v>45978</v>
      </c>
      <c r="C127" s="2" t="s">
        <v>18</v>
      </c>
      <c r="D127" s="2" t="s">
        <v>16</v>
      </c>
      <c r="E127" s="2" t="s">
        <v>76</v>
      </c>
      <c r="F127" s="2">
        <v>18</v>
      </c>
      <c r="G127" s="15">
        <v>407.66</v>
      </c>
      <c r="H127" s="15">
        <v>7337.88</v>
      </c>
      <c r="I127" s="2">
        <v>20</v>
      </c>
      <c r="J127" s="15">
        <v>5870.3</v>
      </c>
    </row>
    <row r="128" spans="1:10" x14ac:dyDescent="0.3">
      <c r="A128" s="2" t="s">
        <v>159</v>
      </c>
      <c r="B128" s="3">
        <v>46115</v>
      </c>
      <c r="C128" s="2" t="s">
        <v>15</v>
      </c>
      <c r="D128" s="2" t="s">
        <v>29</v>
      </c>
      <c r="E128" s="2" t="s">
        <v>87</v>
      </c>
      <c r="F128" s="2">
        <v>2</v>
      </c>
      <c r="G128" s="15">
        <v>74.53</v>
      </c>
      <c r="H128" s="15">
        <v>149.06</v>
      </c>
      <c r="I128" s="2">
        <v>15</v>
      </c>
      <c r="J128" s="15">
        <v>126.7</v>
      </c>
    </row>
    <row r="129" spans="1:10" x14ac:dyDescent="0.3">
      <c r="A129" s="2" t="s">
        <v>160</v>
      </c>
      <c r="B129" s="3">
        <v>45882</v>
      </c>
      <c r="C129" s="2" t="s">
        <v>11</v>
      </c>
      <c r="D129" s="2" t="s">
        <v>19</v>
      </c>
      <c r="E129" s="2" t="s">
        <v>87</v>
      </c>
      <c r="F129" s="2">
        <v>3</v>
      </c>
      <c r="G129" s="15">
        <v>113.71</v>
      </c>
      <c r="H129" s="15">
        <v>341.13</v>
      </c>
      <c r="I129" s="2">
        <v>10</v>
      </c>
      <c r="J129" s="15">
        <v>307.02</v>
      </c>
    </row>
    <row r="130" spans="1:10" x14ac:dyDescent="0.3">
      <c r="A130" s="2" t="s">
        <v>161</v>
      </c>
      <c r="B130" s="3">
        <v>46012</v>
      </c>
      <c r="C130" s="2" t="s">
        <v>15</v>
      </c>
      <c r="D130" s="2" t="s">
        <v>12</v>
      </c>
      <c r="E130" s="2" t="s">
        <v>30</v>
      </c>
      <c r="F130" s="2">
        <v>19</v>
      </c>
      <c r="G130" s="15">
        <v>659.18</v>
      </c>
      <c r="H130" s="15">
        <v>12524.42</v>
      </c>
      <c r="I130" s="2">
        <v>0</v>
      </c>
      <c r="J130" s="15">
        <v>12524.42</v>
      </c>
    </row>
    <row r="131" spans="1:10" x14ac:dyDescent="0.3">
      <c r="A131" s="2" t="s">
        <v>162</v>
      </c>
      <c r="B131" s="3">
        <v>45882</v>
      </c>
      <c r="C131" s="2" t="s">
        <v>15</v>
      </c>
      <c r="D131" s="2" t="s">
        <v>60</v>
      </c>
      <c r="E131" s="2" t="s">
        <v>24</v>
      </c>
      <c r="F131" s="2">
        <v>6</v>
      </c>
      <c r="G131" s="15">
        <v>114.02</v>
      </c>
      <c r="H131" s="15">
        <v>684.12</v>
      </c>
      <c r="I131" s="2">
        <v>20</v>
      </c>
      <c r="J131" s="15">
        <v>547.29999999999995</v>
      </c>
    </row>
    <row r="132" spans="1:10" x14ac:dyDescent="0.3">
      <c r="A132" s="2" t="s">
        <v>163</v>
      </c>
      <c r="B132" s="3">
        <v>45828</v>
      </c>
      <c r="C132" s="2" t="s">
        <v>22</v>
      </c>
      <c r="D132" s="2" t="s">
        <v>60</v>
      </c>
      <c r="E132" s="2" t="s">
        <v>33</v>
      </c>
      <c r="F132" s="2">
        <v>7</v>
      </c>
      <c r="G132" s="15">
        <v>505.79</v>
      </c>
      <c r="H132" s="15">
        <v>3540.53</v>
      </c>
      <c r="I132" s="2">
        <v>5</v>
      </c>
      <c r="J132" s="15">
        <v>3363.5</v>
      </c>
    </row>
    <row r="133" spans="1:10" x14ac:dyDescent="0.3">
      <c r="A133" s="2" t="s">
        <v>164</v>
      </c>
      <c r="B133" s="3">
        <v>46041</v>
      </c>
      <c r="C133" s="2" t="s">
        <v>22</v>
      </c>
      <c r="D133" s="2" t="s">
        <v>29</v>
      </c>
      <c r="E133" s="2" t="s">
        <v>27</v>
      </c>
      <c r="F133" s="2">
        <v>1</v>
      </c>
      <c r="G133" s="15">
        <v>783.26</v>
      </c>
      <c r="H133" s="15">
        <v>783.26</v>
      </c>
      <c r="I133" s="2">
        <v>15</v>
      </c>
      <c r="J133" s="15">
        <v>665.77</v>
      </c>
    </row>
    <row r="134" spans="1:10" x14ac:dyDescent="0.3">
      <c r="A134" s="2" t="s">
        <v>165</v>
      </c>
      <c r="B134" s="3">
        <v>45998</v>
      </c>
      <c r="C134" s="2" t="s">
        <v>11</v>
      </c>
      <c r="D134" s="2" t="s">
        <v>12</v>
      </c>
      <c r="E134" s="2" t="s">
        <v>13</v>
      </c>
      <c r="F134" s="2">
        <v>15</v>
      </c>
      <c r="G134" s="15">
        <v>745.3</v>
      </c>
      <c r="H134" s="15">
        <v>11179.5</v>
      </c>
      <c r="I134" s="2">
        <v>5</v>
      </c>
      <c r="J134" s="15">
        <v>10620.52</v>
      </c>
    </row>
    <row r="135" spans="1:10" x14ac:dyDescent="0.3">
      <c r="A135" s="2" t="s">
        <v>166</v>
      </c>
      <c r="B135" s="3">
        <v>45852</v>
      </c>
      <c r="C135" s="2" t="s">
        <v>15</v>
      </c>
      <c r="D135" s="2" t="s">
        <v>26</v>
      </c>
      <c r="E135" s="2" t="s">
        <v>37</v>
      </c>
      <c r="F135" s="2">
        <v>12</v>
      </c>
      <c r="G135" s="15">
        <v>228.62</v>
      </c>
      <c r="H135" s="15">
        <v>2743.44</v>
      </c>
      <c r="I135" s="2">
        <v>15</v>
      </c>
      <c r="J135" s="15">
        <v>2331.92</v>
      </c>
    </row>
    <row r="136" spans="1:10" x14ac:dyDescent="0.3">
      <c r="A136" s="2" t="s">
        <v>167</v>
      </c>
      <c r="B136" s="3">
        <v>46139</v>
      </c>
      <c r="C136" s="2" t="s">
        <v>15</v>
      </c>
      <c r="D136" s="2" t="s">
        <v>12</v>
      </c>
      <c r="E136" s="2" t="s">
        <v>24</v>
      </c>
      <c r="F136" s="2">
        <v>17</v>
      </c>
      <c r="G136" s="15">
        <v>400.78</v>
      </c>
      <c r="H136" s="15">
        <v>6813.26</v>
      </c>
      <c r="I136" s="2">
        <v>10</v>
      </c>
      <c r="J136" s="15">
        <v>6131.93</v>
      </c>
    </row>
    <row r="137" spans="1:10" x14ac:dyDescent="0.3">
      <c r="A137" s="2" t="s">
        <v>168</v>
      </c>
      <c r="B137" s="3">
        <v>45975</v>
      </c>
      <c r="C137" s="2" t="s">
        <v>15</v>
      </c>
      <c r="D137" s="2" t="s">
        <v>23</v>
      </c>
      <c r="E137" s="2" t="s">
        <v>39</v>
      </c>
      <c r="F137" s="2">
        <v>2</v>
      </c>
      <c r="G137" s="15">
        <v>188.58</v>
      </c>
      <c r="H137" s="15">
        <v>377.16</v>
      </c>
      <c r="I137" s="2">
        <v>20</v>
      </c>
      <c r="J137" s="15">
        <v>301.73</v>
      </c>
    </row>
    <row r="138" spans="1:10" x14ac:dyDescent="0.3">
      <c r="A138" s="2" t="s">
        <v>169</v>
      </c>
      <c r="B138" s="3">
        <v>45989</v>
      </c>
      <c r="C138" s="2" t="s">
        <v>15</v>
      </c>
      <c r="D138" s="2" t="s">
        <v>60</v>
      </c>
      <c r="E138" s="2" t="s">
        <v>27</v>
      </c>
      <c r="F138" s="2">
        <v>7</v>
      </c>
      <c r="G138" s="15">
        <v>107.75</v>
      </c>
      <c r="H138" s="15">
        <v>754.25</v>
      </c>
      <c r="I138" s="2">
        <v>20</v>
      </c>
      <c r="J138" s="15">
        <v>603.4</v>
      </c>
    </row>
    <row r="139" spans="1:10" x14ac:dyDescent="0.3">
      <c r="A139" s="2" t="s">
        <v>170</v>
      </c>
      <c r="B139" s="3">
        <v>45849</v>
      </c>
      <c r="C139" s="2" t="s">
        <v>11</v>
      </c>
      <c r="D139" s="2" t="s">
        <v>26</v>
      </c>
      <c r="E139" s="2" t="s">
        <v>24</v>
      </c>
      <c r="F139" s="2">
        <v>11</v>
      </c>
      <c r="G139" s="15">
        <v>246.28</v>
      </c>
      <c r="H139" s="15">
        <v>2709.08</v>
      </c>
      <c r="I139" s="2">
        <v>0</v>
      </c>
      <c r="J139" s="15">
        <v>2709.08</v>
      </c>
    </row>
    <row r="140" spans="1:10" x14ac:dyDescent="0.3">
      <c r="A140" s="2" t="s">
        <v>171</v>
      </c>
      <c r="B140" s="3">
        <v>45936</v>
      </c>
      <c r="C140" s="2" t="s">
        <v>15</v>
      </c>
      <c r="D140" s="2" t="s">
        <v>60</v>
      </c>
      <c r="E140" s="2" t="s">
        <v>37</v>
      </c>
      <c r="F140" s="2">
        <v>15</v>
      </c>
      <c r="G140" s="15">
        <v>250.45</v>
      </c>
      <c r="H140" s="15">
        <v>3756.75</v>
      </c>
      <c r="I140" s="2">
        <v>5</v>
      </c>
      <c r="J140" s="15">
        <v>3568.91</v>
      </c>
    </row>
    <row r="141" spans="1:10" x14ac:dyDescent="0.3">
      <c r="A141" s="2" t="s">
        <v>172</v>
      </c>
      <c r="B141" s="3">
        <v>45952</v>
      </c>
      <c r="C141" s="2" t="s">
        <v>11</v>
      </c>
      <c r="D141" s="2" t="s">
        <v>52</v>
      </c>
      <c r="E141" s="2" t="s">
        <v>33</v>
      </c>
      <c r="F141" s="2">
        <v>7</v>
      </c>
      <c r="G141" s="15">
        <v>618.37</v>
      </c>
      <c r="H141" s="15">
        <v>4328.59</v>
      </c>
      <c r="I141" s="2">
        <v>15</v>
      </c>
      <c r="J141" s="15">
        <v>3679.3</v>
      </c>
    </row>
    <row r="142" spans="1:10" x14ac:dyDescent="0.3">
      <c r="A142" s="2" t="s">
        <v>173</v>
      </c>
      <c r="B142" s="3">
        <v>45902</v>
      </c>
      <c r="C142" s="2" t="s">
        <v>11</v>
      </c>
      <c r="D142" s="2" t="s">
        <v>26</v>
      </c>
      <c r="E142" s="2" t="s">
        <v>39</v>
      </c>
      <c r="F142" s="2">
        <v>20</v>
      </c>
      <c r="G142" s="15">
        <v>759.04</v>
      </c>
      <c r="H142" s="15">
        <v>15180.8</v>
      </c>
      <c r="I142" s="2">
        <v>5</v>
      </c>
      <c r="J142" s="15">
        <v>14421.76</v>
      </c>
    </row>
    <row r="143" spans="1:10" x14ac:dyDescent="0.3">
      <c r="A143" s="2" t="s">
        <v>174</v>
      </c>
      <c r="B143" s="3">
        <v>45818</v>
      </c>
      <c r="C143" s="2" t="s">
        <v>15</v>
      </c>
      <c r="D143" s="2" t="s">
        <v>23</v>
      </c>
      <c r="E143" s="2" t="s">
        <v>76</v>
      </c>
      <c r="F143" s="2">
        <v>5</v>
      </c>
      <c r="G143" s="15">
        <v>538.53</v>
      </c>
      <c r="H143" s="15">
        <v>2692.65</v>
      </c>
      <c r="I143" s="2">
        <v>0</v>
      </c>
      <c r="J143" s="15">
        <v>2692.65</v>
      </c>
    </row>
    <row r="144" spans="1:10" x14ac:dyDescent="0.3">
      <c r="A144" s="2" t="s">
        <v>175</v>
      </c>
      <c r="B144" s="3">
        <v>45989</v>
      </c>
      <c r="C144" s="2" t="s">
        <v>22</v>
      </c>
      <c r="D144" s="2" t="s">
        <v>26</v>
      </c>
      <c r="E144" s="2" t="s">
        <v>33</v>
      </c>
      <c r="F144" s="2">
        <v>10</v>
      </c>
      <c r="G144" s="15">
        <v>464.42</v>
      </c>
      <c r="H144" s="15">
        <v>4644.2</v>
      </c>
      <c r="I144" s="2">
        <v>5</v>
      </c>
      <c r="J144" s="15">
        <v>4411.99</v>
      </c>
    </row>
    <row r="145" spans="1:10" x14ac:dyDescent="0.3">
      <c r="A145" s="2" t="s">
        <v>176</v>
      </c>
      <c r="B145" s="3">
        <v>45872</v>
      </c>
      <c r="C145" s="2" t="s">
        <v>22</v>
      </c>
      <c r="D145" s="2" t="s">
        <v>26</v>
      </c>
      <c r="E145" s="2" t="s">
        <v>30</v>
      </c>
      <c r="F145" s="2">
        <v>10</v>
      </c>
      <c r="G145" s="15">
        <v>333.95</v>
      </c>
      <c r="H145" s="15">
        <v>3339.5</v>
      </c>
      <c r="I145" s="2">
        <v>20</v>
      </c>
      <c r="J145" s="15">
        <v>2671.6</v>
      </c>
    </row>
    <row r="146" spans="1:10" x14ac:dyDescent="0.3">
      <c r="A146" s="2" t="s">
        <v>177</v>
      </c>
      <c r="B146" s="3">
        <v>45807</v>
      </c>
      <c r="C146" s="2" t="s">
        <v>11</v>
      </c>
      <c r="D146" s="2" t="s">
        <v>19</v>
      </c>
      <c r="E146" s="2" t="s">
        <v>27</v>
      </c>
      <c r="F146" s="2">
        <v>13</v>
      </c>
      <c r="G146" s="15">
        <v>296.18</v>
      </c>
      <c r="H146" s="15">
        <v>3850.34</v>
      </c>
      <c r="I146" s="2">
        <v>5</v>
      </c>
      <c r="J146" s="15">
        <v>3657.82</v>
      </c>
    </row>
    <row r="147" spans="1:10" x14ac:dyDescent="0.3">
      <c r="A147" s="2" t="s">
        <v>178</v>
      </c>
      <c r="B147" s="3">
        <v>46124</v>
      </c>
      <c r="C147" s="2" t="s">
        <v>15</v>
      </c>
      <c r="D147" s="2" t="s">
        <v>32</v>
      </c>
      <c r="E147" s="2" t="s">
        <v>87</v>
      </c>
      <c r="F147" s="2">
        <v>12</v>
      </c>
      <c r="G147" s="15">
        <v>435.62</v>
      </c>
      <c r="H147" s="15">
        <v>5227.4399999999996</v>
      </c>
      <c r="I147" s="2">
        <v>15</v>
      </c>
      <c r="J147" s="15">
        <v>4443.32</v>
      </c>
    </row>
    <row r="148" spans="1:10" x14ac:dyDescent="0.3">
      <c r="A148" s="2" t="s">
        <v>179</v>
      </c>
      <c r="B148" s="3">
        <v>45953</v>
      </c>
      <c r="C148" s="2" t="s">
        <v>18</v>
      </c>
      <c r="D148" s="2" t="s">
        <v>29</v>
      </c>
      <c r="E148" s="2" t="s">
        <v>24</v>
      </c>
      <c r="F148" s="2">
        <v>8</v>
      </c>
      <c r="G148" s="15">
        <v>525.97</v>
      </c>
      <c r="H148" s="15">
        <v>4207.76</v>
      </c>
      <c r="I148" s="2">
        <v>10</v>
      </c>
      <c r="J148" s="15">
        <v>3786.98</v>
      </c>
    </row>
    <row r="149" spans="1:10" x14ac:dyDescent="0.3">
      <c r="A149" s="2" t="s">
        <v>180</v>
      </c>
      <c r="B149" s="3">
        <v>45960</v>
      </c>
      <c r="C149" s="2" t="s">
        <v>22</v>
      </c>
      <c r="D149" s="2" t="s">
        <v>44</v>
      </c>
      <c r="E149" s="2" t="s">
        <v>24</v>
      </c>
      <c r="F149" s="2">
        <v>7</v>
      </c>
      <c r="G149" s="15">
        <v>432.41</v>
      </c>
      <c r="H149" s="15">
        <v>3026.87</v>
      </c>
      <c r="I149" s="2">
        <v>0</v>
      </c>
      <c r="J149" s="15">
        <v>3026.87</v>
      </c>
    </row>
    <row r="150" spans="1:10" x14ac:dyDescent="0.3">
      <c r="A150" s="2" t="s">
        <v>181</v>
      </c>
      <c r="B150" s="3">
        <v>45909</v>
      </c>
      <c r="C150" s="2" t="s">
        <v>22</v>
      </c>
      <c r="D150" s="2" t="s">
        <v>60</v>
      </c>
      <c r="E150" s="2" t="s">
        <v>13</v>
      </c>
      <c r="F150" s="2">
        <v>16</v>
      </c>
      <c r="G150" s="15">
        <v>120.08</v>
      </c>
      <c r="H150" s="15">
        <v>1921.28</v>
      </c>
      <c r="I150" s="2">
        <v>10</v>
      </c>
      <c r="J150" s="15">
        <v>1729.15</v>
      </c>
    </row>
    <row r="151" spans="1:10" x14ac:dyDescent="0.3">
      <c r="A151" s="2" t="s">
        <v>182</v>
      </c>
      <c r="B151" s="3">
        <v>46103</v>
      </c>
      <c r="C151" s="2" t="s">
        <v>22</v>
      </c>
      <c r="D151" s="2" t="s">
        <v>23</v>
      </c>
      <c r="E151" s="2" t="s">
        <v>39</v>
      </c>
      <c r="F151" s="2">
        <v>5</v>
      </c>
      <c r="G151" s="15">
        <v>252.85</v>
      </c>
      <c r="H151" s="15">
        <v>1264.25</v>
      </c>
      <c r="I151" s="2">
        <v>0</v>
      </c>
      <c r="J151" s="15">
        <v>1264.25</v>
      </c>
    </row>
    <row r="152" spans="1:10" x14ac:dyDescent="0.3">
      <c r="A152" s="2" t="s">
        <v>183</v>
      </c>
      <c r="B152" s="3">
        <v>45829</v>
      </c>
      <c r="C152" s="2" t="s">
        <v>11</v>
      </c>
      <c r="D152" s="2" t="s">
        <v>26</v>
      </c>
      <c r="E152" s="2" t="s">
        <v>87</v>
      </c>
      <c r="F152" s="2">
        <v>9</v>
      </c>
      <c r="G152" s="15">
        <v>502.24</v>
      </c>
      <c r="H152" s="15">
        <v>4520.16</v>
      </c>
      <c r="I152" s="2">
        <v>10</v>
      </c>
      <c r="J152" s="15">
        <v>4068.14</v>
      </c>
    </row>
    <row r="153" spans="1:10" x14ac:dyDescent="0.3">
      <c r="A153" s="2" t="s">
        <v>184</v>
      </c>
      <c r="B153" s="3">
        <v>46122</v>
      </c>
      <c r="C153" s="2" t="s">
        <v>18</v>
      </c>
      <c r="D153" s="2" t="s">
        <v>44</v>
      </c>
      <c r="E153" s="2" t="s">
        <v>24</v>
      </c>
      <c r="F153" s="2">
        <v>7</v>
      </c>
      <c r="G153" s="15">
        <v>300.22000000000003</v>
      </c>
      <c r="H153" s="15">
        <v>2101.54</v>
      </c>
      <c r="I153" s="2">
        <v>0</v>
      </c>
      <c r="J153" s="15">
        <v>2101.54</v>
      </c>
    </row>
    <row r="154" spans="1:10" x14ac:dyDescent="0.3">
      <c r="A154" s="2" t="s">
        <v>185</v>
      </c>
      <c r="B154" s="3">
        <v>45973</v>
      </c>
      <c r="C154" s="2" t="s">
        <v>11</v>
      </c>
      <c r="D154" s="2" t="s">
        <v>26</v>
      </c>
      <c r="E154" s="2" t="s">
        <v>13</v>
      </c>
      <c r="F154" s="2">
        <v>13</v>
      </c>
      <c r="G154" s="15">
        <v>794.12</v>
      </c>
      <c r="H154" s="15">
        <v>10323.56</v>
      </c>
      <c r="I154" s="2">
        <v>20</v>
      </c>
      <c r="J154" s="15">
        <v>8258.85</v>
      </c>
    </row>
    <row r="155" spans="1:10" x14ac:dyDescent="0.3">
      <c r="A155" s="2" t="s">
        <v>186</v>
      </c>
      <c r="B155" s="3">
        <v>45950</v>
      </c>
      <c r="C155" s="2" t="s">
        <v>11</v>
      </c>
      <c r="D155" s="2" t="s">
        <v>44</v>
      </c>
      <c r="E155" s="2" t="s">
        <v>39</v>
      </c>
      <c r="F155" s="2">
        <v>17</v>
      </c>
      <c r="G155" s="15">
        <v>918.9</v>
      </c>
      <c r="H155" s="15">
        <v>15621.3</v>
      </c>
      <c r="I155" s="2">
        <v>0</v>
      </c>
      <c r="J155" s="15">
        <v>15621.3</v>
      </c>
    </row>
    <row r="156" spans="1:10" x14ac:dyDescent="0.3">
      <c r="A156" s="2" t="s">
        <v>187</v>
      </c>
      <c r="B156" s="3">
        <v>45941</v>
      </c>
      <c r="C156" s="2" t="s">
        <v>22</v>
      </c>
      <c r="D156" s="2" t="s">
        <v>19</v>
      </c>
      <c r="E156" s="2" t="s">
        <v>33</v>
      </c>
      <c r="F156" s="2">
        <v>15</v>
      </c>
      <c r="G156" s="15">
        <v>830.59</v>
      </c>
      <c r="H156" s="15">
        <v>12458.85</v>
      </c>
      <c r="I156" s="2">
        <v>20</v>
      </c>
      <c r="J156" s="15">
        <v>9967.08</v>
      </c>
    </row>
    <row r="157" spans="1:10" x14ac:dyDescent="0.3">
      <c r="A157" s="2" t="s">
        <v>188</v>
      </c>
      <c r="B157" s="3">
        <v>45821</v>
      </c>
      <c r="C157" s="2" t="s">
        <v>22</v>
      </c>
      <c r="D157" s="2" t="s">
        <v>23</v>
      </c>
      <c r="E157" s="2" t="s">
        <v>13</v>
      </c>
      <c r="F157" s="2">
        <v>11</v>
      </c>
      <c r="G157" s="15">
        <v>363.3</v>
      </c>
      <c r="H157" s="15">
        <v>3996.3</v>
      </c>
      <c r="I157" s="2">
        <v>15</v>
      </c>
      <c r="J157" s="15">
        <v>3396.86</v>
      </c>
    </row>
    <row r="158" spans="1:10" x14ac:dyDescent="0.3">
      <c r="A158" s="2" t="s">
        <v>189</v>
      </c>
      <c r="B158" s="3">
        <v>46045</v>
      </c>
      <c r="C158" s="2" t="s">
        <v>18</v>
      </c>
      <c r="D158" s="2" t="s">
        <v>16</v>
      </c>
      <c r="E158" s="2" t="s">
        <v>27</v>
      </c>
      <c r="F158" s="2">
        <v>3</v>
      </c>
      <c r="G158" s="15">
        <v>195.75</v>
      </c>
      <c r="H158" s="15">
        <v>587.25</v>
      </c>
      <c r="I158" s="2">
        <v>0</v>
      </c>
      <c r="J158" s="15">
        <v>587.25</v>
      </c>
    </row>
    <row r="159" spans="1:10" x14ac:dyDescent="0.3">
      <c r="A159" s="2" t="s">
        <v>190</v>
      </c>
      <c r="B159" s="3">
        <v>45901</v>
      </c>
      <c r="C159" s="2" t="s">
        <v>15</v>
      </c>
      <c r="D159" s="2" t="s">
        <v>29</v>
      </c>
      <c r="E159" s="2" t="s">
        <v>13</v>
      </c>
      <c r="F159" s="2">
        <v>5</v>
      </c>
      <c r="G159" s="15">
        <v>735.79</v>
      </c>
      <c r="H159" s="15">
        <v>3678.95</v>
      </c>
      <c r="I159" s="2">
        <v>20</v>
      </c>
      <c r="J159" s="15">
        <v>2943.16</v>
      </c>
    </row>
    <row r="160" spans="1:10" x14ac:dyDescent="0.3">
      <c r="A160" s="2" t="s">
        <v>191</v>
      </c>
      <c r="B160" s="3">
        <v>46132</v>
      </c>
      <c r="C160" s="2" t="s">
        <v>15</v>
      </c>
      <c r="D160" s="2" t="s">
        <v>52</v>
      </c>
      <c r="E160" s="2" t="s">
        <v>20</v>
      </c>
      <c r="F160" s="2">
        <v>4</v>
      </c>
      <c r="G160" s="15">
        <v>353.44</v>
      </c>
      <c r="H160" s="15">
        <v>1413.76</v>
      </c>
      <c r="I160" s="2">
        <v>20</v>
      </c>
      <c r="J160" s="15">
        <v>1131.01</v>
      </c>
    </row>
    <row r="161" spans="1:10" x14ac:dyDescent="0.3">
      <c r="A161" s="2" t="s">
        <v>192</v>
      </c>
      <c r="B161" s="3">
        <v>46043</v>
      </c>
      <c r="C161" s="2" t="s">
        <v>11</v>
      </c>
      <c r="D161" s="2" t="s">
        <v>12</v>
      </c>
      <c r="E161" s="2" t="s">
        <v>87</v>
      </c>
      <c r="F161" s="2">
        <v>10</v>
      </c>
      <c r="G161" s="15">
        <v>740.81</v>
      </c>
      <c r="H161" s="15">
        <v>7408.1</v>
      </c>
      <c r="I161" s="2">
        <v>5</v>
      </c>
      <c r="J161" s="15">
        <v>7037.7</v>
      </c>
    </row>
    <row r="162" spans="1:10" x14ac:dyDescent="0.3">
      <c r="A162" s="2" t="s">
        <v>193</v>
      </c>
      <c r="B162" s="3">
        <v>45842</v>
      </c>
      <c r="C162" s="2" t="s">
        <v>15</v>
      </c>
      <c r="D162" s="2" t="s">
        <v>19</v>
      </c>
      <c r="E162" s="2" t="s">
        <v>87</v>
      </c>
      <c r="F162" s="2">
        <v>3</v>
      </c>
      <c r="G162" s="15">
        <v>407.17</v>
      </c>
      <c r="H162" s="15">
        <v>1221.51</v>
      </c>
      <c r="I162" s="2">
        <v>10</v>
      </c>
      <c r="J162" s="15">
        <v>1099.3599999999999</v>
      </c>
    </row>
    <row r="163" spans="1:10" x14ac:dyDescent="0.3">
      <c r="A163" s="2" t="s">
        <v>194</v>
      </c>
      <c r="B163" s="3">
        <v>46008</v>
      </c>
      <c r="C163" s="2" t="s">
        <v>15</v>
      </c>
      <c r="D163" s="2" t="s">
        <v>12</v>
      </c>
      <c r="E163" s="2" t="s">
        <v>13</v>
      </c>
      <c r="F163" s="2">
        <v>11</v>
      </c>
      <c r="G163" s="15">
        <v>517.79999999999995</v>
      </c>
      <c r="H163" s="15">
        <v>5695.8</v>
      </c>
      <c r="I163" s="2">
        <v>0</v>
      </c>
      <c r="J163" s="15">
        <v>5695.8</v>
      </c>
    </row>
    <row r="164" spans="1:10" x14ac:dyDescent="0.3">
      <c r="A164" s="2" t="s">
        <v>195</v>
      </c>
      <c r="B164" s="3">
        <v>46043</v>
      </c>
      <c r="C164" s="2" t="s">
        <v>18</v>
      </c>
      <c r="D164" s="2" t="s">
        <v>12</v>
      </c>
      <c r="E164" s="2" t="s">
        <v>33</v>
      </c>
      <c r="F164" s="2">
        <v>3</v>
      </c>
      <c r="G164" s="15">
        <v>344.53</v>
      </c>
      <c r="H164" s="15">
        <v>1033.5899999999999</v>
      </c>
      <c r="I164" s="2">
        <v>10</v>
      </c>
      <c r="J164" s="15">
        <v>930.23</v>
      </c>
    </row>
    <row r="165" spans="1:10" x14ac:dyDescent="0.3">
      <c r="A165" s="2" t="s">
        <v>196</v>
      </c>
      <c r="B165" s="3">
        <v>45845</v>
      </c>
      <c r="C165" s="2" t="s">
        <v>15</v>
      </c>
      <c r="D165" s="2" t="s">
        <v>29</v>
      </c>
      <c r="E165" s="2" t="s">
        <v>24</v>
      </c>
      <c r="F165" s="2">
        <v>11</v>
      </c>
      <c r="G165" s="15">
        <v>324.10000000000002</v>
      </c>
      <c r="H165" s="15">
        <v>3565.1</v>
      </c>
      <c r="I165" s="2">
        <v>10</v>
      </c>
      <c r="J165" s="15">
        <v>3208.59</v>
      </c>
    </row>
    <row r="166" spans="1:10" x14ac:dyDescent="0.3">
      <c r="A166" s="2" t="s">
        <v>197</v>
      </c>
      <c r="B166" s="3">
        <v>45821</v>
      </c>
      <c r="C166" s="2" t="s">
        <v>22</v>
      </c>
      <c r="D166" s="2" t="s">
        <v>32</v>
      </c>
      <c r="E166" s="2" t="s">
        <v>20</v>
      </c>
      <c r="F166" s="2">
        <v>9</v>
      </c>
      <c r="G166" s="15">
        <v>504.03</v>
      </c>
      <c r="H166" s="15">
        <v>4536.2700000000004</v>
      </c>
      <c r="I166" s="2">
        <v>0</v>
      </c>
      <c r="J166" s="15">
        <v>4536.2700000000004</v>
      </c>
    </row>
    <row r="167" spans="1:10" x14ac:dyDescent="0.3">
      <c r="A167" s="2" t="s">
        <v>198</v>
      </c>
      <c r="B167" s="3">
        <v>46044</v>
      </c>
      <c r="C167" s="2" t="s">
        <v>18</v>
      </c>
      <c r="D167" s="2" t="s">
        <v>29</v>
      </c>
      <c r="E167" s="2" t="s">
        <v>30</v>
      </c>
      <c r="F167" s="2">
        <v>18</v>
      </c>
      <c r="G167" s="15">
        <v>979.35</v>
      </c>
      <c r="H167" s="15">
        <v>17628.3</v>
      </c>
      <c r="I167" s="2">
        <v>5</v>
      </c>
      <c r="J167" s="15">
        <v>16746.88</v>
      </c>
    </row>
    <row r="168" spans="1:10" x14ac:dyDescent="0.3">
      <c r="A168" s="2" t="s">
        <v>199</v>
      </c>
      <c r="B168" s="3">
        <v>45888</v>
      </c>
      <c r="C168" s="2" t="s">
        <v>22</v>
      </c>
      <c r="D168" s="2" t="s">
        <v>52</v>
      </c>
      <c r="E168" s="2" t="s">
        <v>27</v>
      </c>
      <c r="F168" s="2">
        <v>4</v>
      </c>
      <c r="G168" s="15">
        <v>538.47</v>
      </c>
      <c r="H168" s="15">
        <v>2153.88</v>
      </c>
      <c r="I168" s="2">
        <v>0</v>
      </c>
      <c r="J168" s="15">
        <v>2153.88</v>
      </c>
    </row>
    <row r="169" spans="1:10" x14ac:dyDescent="0.3">
      <c r="A169" s="2" t="s">
        <v>200</v>
      </c>
      <c r="B169" s="3">
        <v>46112</v>
      </c>
      <c r="C169" s="2" t="s">
        <v>22</v>
      </c>
      <c r="D169" s="2" t="s">
        <v>32</v>
      </c>
      <c r="E169" s="2" t="s">
        <v>76</v>
      </c>
      <c r="F169" s="2">
        <v>8</v>
      </c>
      <c r="G169" s="15">
        <v>759.12</v>
      </c>
      <c r="H169" s="15">
        <v>6072.96</v>
      </c>
      <c r="I169" s="2">
        <v>15</v>
      </c>
      <c r="J169" s="15">
        <v>5162.0200000000004</v>
      </c>
    </row>
    <row r="170" spans="1:10" x14ac:dyDescent="0.3">
      <c r="A170" s="2" t="s">
        <v>201</v>
      </c>
      <c r="B170" s="3">
        <v>45936</v>
      </c>
      <c r="C170" s="2" t="s">
        <v>18</v>
      </c>
      <c r="D170" s="2" t="s">
        <v>52</v>
      </c>
      <c r="E170" s="2" t="s">
        <v>76</v>
      </c>
      <c r="F170" s="2">
        <v>10</v>
      </c>
      <c r="G170" s="15">
        <v>676.51</v>
      </c>
      <c r="H170" s="15">
        <v>6765.1</v>
      </c>
      <c r="I170" s="2">
        <v>15</v>
      </c>
      <c r="J170" s="15">
        <v>5750.34</v>
      </c>
    </row>
    <row r="171" spans="1:10" x14ac:dyDescent="0.3">
      <c r="A171" s="2" t="s">
        <v>202</v>
      </c>
      <c r="B171" s="3">
        <v>45823</v>
      </c>
      <c r="C171" s="2" t="s">
        <v>15</v>
      </c>
      <c r="D171" s="2" t="s">
        <v>12</v>
      </c>
      <c r="E171" s="2" t="s">
        <v>37</v>
      </c>
      <c r="F171" s="2">
        <v>17</v>
      </c>
      <c r="G171" s="15">
        <v>98.6</v>
      </c>
      <c r="H171" s="15">
        <v>1676.2</v>
      </c>
      <c r="I171" s="2">
        <v>5</v>
      </c>
      <c r="J171" s="15">
        <v>1592.39</v>
      </c>
    </row>
    <row r="172" spans="1:10" x14ac:dyDescent="0.3">
      <c r="A172" s="2" t="s">
        <v>203</v>
      </c>
      <c r="B172" s="3">
        <v>45850</v>
      </c>
      <c r="C172" s="2" t="s">
        <v>11</v>
      </c>
      <c r="D172" s="2" t="s">
        <v>44</v>
      </c>
      <c r="E172" s="2" t="s">
        <v>27</v>
      </c>
      <c r="F172" s="2">
        <v>20</v>
      </c>
      <c r="G172" s="15">
        <v>548.74</v>
      </c>
      <c r="H172" s="15">
        <v>10974.8</v>
      </c>
      <c r="I172" s="2">
        <v>10</v>
      </c>
      <c r="J172" s="15">
        <v>9877.32</v>
      </c>
    </row>
    <row r="173" spans="1:10" x14ac:dyDescent="0.3">
      <c r="A173" s="2" t="s">
        <v>204</v>
      </c>
      <c r="B173" s="3">
        <v>45819</v>
      </c>
      <c r="C173" s="2" t="s">
        <v>22</v>
      </c>
      <c r="D173" s="2" t="s">
        <v>16</v>
      </c>
      <c r="E173" s="2" t="s">
        <v>39</v>
      </c>
      <c r="F173" s="2">
        <v>4</v>
      </c>
      <c r="G173" s="15">
        <v>675.51</v>
      </c>
      <c r="H173" s="15">
        <v>2702.04</v>
      </c>
      <c r="I173" s="2">
        <v>15</v>
      </c>
      <c r="J173" s="15">
        <v>2296.73</v>
      </c>
    </row>
    <row r="174" spans="1:10" x14ac:dyDescent="0.3">
      <c r="A174" s="2" t="s">
        <v>205</v>
      </c>
      <c r="B174" s="3">
        <v>45807</v>
      </c>
      <c r="C174" s="2" t="s">
        <v>18</v>
      </c>
      <c r="D174" s="2" t="s">
        <v>52</v>
      </c>
      <c r="E174" s="2" t="s">
        <v>27</v>
      </c>
      <c r="F174" s="2">
        <v>2</v>
      </c>
      <c r="G174" s="15">
        <v>662.53</v>
      </c>
      <c r="H174" s="15">
        <v>1325.06</v>
      </c>
      <c r="I174" s="2">
        <v>10</v>
      </c>
      <c r="J174" s="15">
        <v>1192.55</v>
      </c>
    </row>
    <row r="175" spans="1:10" x14ac:dyDescent="0.3">
      <c r="A175" s="2" t="s">
        <v>206</v>
      </c>
      <c r="B175" s="3">
        <v>45955</v>
      </c>
      <c r="C175" s="2" t="s">
        <v>22</v>
      </c>
      <c r="D175" s="2" t="s">
        <v>23</v>
      </c>
      <c r="E175" s="2" t="s">
        <v>13</v>
      </c>
      <c r="F175" s="2">
        <v>3</v>
      </c>
      <c r="G175" s="15">
        <v>502.95</v>
      </c>
      <c r="H175" s="15">
        <v>1508.85</v>
      </c>
      <c r="I175" s="2">
        <v>20</v>
      </c>
      <c r="J175" s="15">
        <v>1207.08</v>
      </c>
    </row>
    <row r="176" spans="1:10" x14ac:dyDescent="0.3">
      <c r="A176" s="2" t="s">
        <v>207</v>
      </c>
      <c r="B176" s="3">
        <v>45954</v>
      </c>
      <c r="C176" s="2" t="s">
        <v>18</v>
      </c>
      <c r="D176" s="2" t="s">
        <v>29</v>
      </c>
      <c r="E176" s="2" t="s">
        <v>24</v>
      </c>
      <c r="F176" s="2">
        <v>5</v>
      </c>
      <c r="G176" s="15">
        <v>919.07</v>
      </c>
      <c r="H176" s="15">
        <v>4595.3500000000004</v>
      </c>
      <c r="I176" s="2">
        <v>15</v>
      </c>
      <c r="J176" s="15">
        <v>3906.05</v>
      </c>
    </row>
    <row r="177" spans="1:10" x14ac:dyDescent="0.3">
      <c r="A177" s="2" t="s">
        <v>208</v>
      </c>
      <c r="B177" s="3">
        <v>46148</v>
      </c>
      <c r="C177" s="2" t="s">
        <v>18</v>
      </c>
      <c r="D177" s="2" t="s">
        <v>26</v>
      </c>
      <c r="E177" s="2" t="s">
        <v>24</v>
      </c>
      <c r="F177" s="2">
        <v>15</v>
      </c>
      <c r="G177" s="15">
        <v>480.65</v>
      </c>
      <c r="H177" s="15">
        <v>7209.75</v>
      </c>
      <c r="I177" s="2">
        <v>15</v>
      </c>
      <c r="J177" s="15">
        <v>6128.29</v>
      </c>
    </row>
    <row r="178" spans="1:10" x14ac:dyDescent="0.3">
      <c r="A178" s="2" t="s">
        <v>209</v>
      </c>
      <c r="B178" s="3">
        <v>46092</v>
      </c>
      <c r="C178" s="2" t="s">
        <v>11</v>
      </c>
      <c r="D178" s="2" t="s">
        <v>16</v>
      </c>
      <c r="E178" s="2" t="s">
        <v>39</v>
      </c>
      <c r="F178" s="2">
        <v>8</v>
      </c>
      <c r="G178" s="15">
        <v>612.78</v>
      </c>
      <c r="H178" s="15">
        <v>4902.24</v>
      </c>
      <c r="I178" s="2">
        <v>20</v>
      </c>
      <c r="J178" s="15">
        <v>3921.79</v>
      </c>
    </row>
    <row r="179" spans="1:10" x14ac:dyDescent="0.3">
      <c r="A179" s="2" t="s">
        <v>210</v>
      </c>
      <c r="B179" s="3">
        <v>45812</v>
      </c>
      <c r="C179" s="2" t="s">
        <v>11</v>
      </c>
      <c r="D179" s="2" t="s">
        <v>52</v>
      </c>
      <c r="E179" s="2" t="s">
        <v>87</v>
      </c>
      <c r="F179" s="2">
        <v>13</v>
      </c>
      <c r="G179" s="15">
        <v>339.08</v>
      </c>
      <c r="H179" s="15">
        <v>4408.04</v>
      </c>
      <c r="I179" s="2">
        <v>5</v>
      </c>
      <c r="J179" s="15">
        <v>4187.6400000000003</v>
      </c>
    </row>
    <row r="180" spans="1:10" x14ac:dyDescent="0.3">
      <c r="A180" s="2" t="s">
        <v>211</v>
      </c>
      <c r="B180" s="3">
        <v>45955</v>
      </c>
      <c r="C180" s="2" t="s">
        <v>15</v>
      </c>
      <c r="D180" s="2" t="s">
        <v>19</v>
      </c>
      <c r="E180" s="2" t="s">
        <v>27</v>
      </c>
      <c r="F180" s="2">
        <v>13</v>
      </c>
      <c r="G180" s="15">
        <v>310.31</v>
      </c>
      <c r="H180" s="15">
        <v>4034.03</v>
      </c>
      <c r="I180" s="2">
        <v>0</v>
      </c>
      <c r="J180" s="15">
        <v>4034.03</v>
      </c>
    </row>
    <row r="181" spans="1:10" x14ac:dyDescent="0.3">
      <c r="A181" s="2" t="s">
        <v>212</v>
      </c>
      <c r="B181" s="3">
        <v>46134</v>
      </c>
      <c r="C181" s="2" t="s">
        <v>15</v>
      </c>
      <c r="D181" s="2" t="s">
        <v>52</v>
      </c>
      <c r="E181" s="2" t="s">
        <v>39</v>
      </c>
      <c r="F181" s="2">
        <v>20</v>
      </c>
      <c r="G181" s="15">
        <v>116.93</v>
      </c>
      <c r="H181" s="15">
        <v>2338.6</v>
      </c>
      <c r="I181" s="2">
        <v>0</v>
      </c>
      <c r="J181" s="15">
        <v>2338.6</v>
      </c>
    </row>
    <row r="182" spans="1:10" x14ac:dyDescent="0.3">
      <c r="A182" s="2" t="s">
        <v>213</v>
      </c>
      <c r="B182" s="3">
        <v>45850</v>
      </c>
      <c r="C182" s="2" t="s">
        <v>18</v>
      </c>
      <c r="D182" s="2" t="s">
        <v>23</v>
      </c>
      <c r="E182" s="2" t="s">
        <v>27</v>
      </c>
      <c r="F182" s="2">
        <v>5</v>
      </c>
      <c r="G182" s="15">
        <v>845.06</v>
      </c>
      <c r="H182" s="15">
        <v>4225.3</v>
      </c>
      <c r="I182" s="2">
        <v>20</v>
      </c>
      <c r="J182" s="15">
        <v>3380.24</v>
      </c>
    </row>
    <row r="183" spans="1:10" x14ac:dyDescent="0.3">
      <c r="A183" s="2" t="s">
        <v>214</v>
      </c>
      <c r="B183" s="3">
        <v>46032</v>
      </c>
      <c r="C183" s="2" t="s">
        <v>22</v>
      </c>
      <c r="D183" s="2" t="s">
        <v>26</v>
      </c>
      <c r="E183" s="2" t="s">
        <v>13</v>
      </c>
      <c r="F183" s="2">
        <v>13</v>
      </c>
      <c r="G183" s="15">
        <v>352.14</v>
      </c>
      <c r="H183" s="15">
        <v>4577.82</v>
      </c>
      <c r="I183" s="2">
        <v>20</v>
      </c>
      <c r="J183" s="15">
        <v>3662.26</v>
      </c>
    </row>
    <row r="184" spans="1:10" x14ac:dyDescent="0.3">
      <c r="A184" s="2" t="s">
        <v>215</v>
      </c>
      <c r="B184" s="3">
        <v>45804</v>
      </c>
      <c r="C184" s="2" t="s">
        <v>11</v>
      </c>
      <c r="D184" s="2" t="s">
        <v>52</v>
      </c>
      <c r="E184" s="2" t="s">
        <v>30</v>
      </c>
      <c r="F184" s="2">
        <v>18</v>
      </c>
      <c r="G184" s="15">
        <v>636.62</v>
      </c>
      <c r="H184" s="15">
        <v>11459.16</v>
      </c>
      <c r="I184" s="2">
        <v>10</v>
      </c>
      <c r="J184" s="15">
        <v>10313.24</v>
      </c>
    </row>
    <row r="185" spans="1:10" x14ac:dyDescent="0.3">
      <c r="A185" s="2" t="s">
        <v>216</v>
      </c>
      <c r="B185" s="3">
        <v>46013</v>
      </c>
      <c r="C185" s="2" t="s">
        <v>22</v>
      </c>
      <c r="D185" s="2" t="s">
        <v>12</v>
      </c>
      <c r="E185" s="2" t="s">
        <v>87</v>
      </c>
      <c r="F185" s="2">
        <v>8</v>
      </c>
      <c r="G185" s="15">
        <v>913.05</v>
      </c>
      <c r="H185" s="15">
        <v>7304.4</v>
      </c>
      <c r="I185" s="2">
        <v>20</v>
      </c>
      <c r="J185" s="15">
        <v>5843.52</v>
      </c>
    </row>
    <row r="186" spans="1:10" x14ac:dyDescent="0.3">
      <c r="A186" s="2" t="s">
        <v>217</v>
      </c>
      <c r="B186" s="3">
        <v>45898</v>
      </c>
      <c r="C186" s="2" t="s">
        <v>22</v>
      </c>
      <c r="D186" s="2" t="s">
        <v>12</v>
      </c>
      <c r="E186" s="2" t="s">
        <v>39</v>
      </c>
      <c r="F186" s="2">
        <v>7</v>
      </c>
      <c r="G186" s="15">
        <v>74.75</v>
      </c>
      <c r="H186" s="15">
        <v>523.25</v>
      </c>
      <c r="I186" s="2">
        <v>0</v>
      </c>
      <c r="J186" s="15">
        <v>523.25</v>
      </c>
    </row>
    <row r="187" spans="1:10" x14ac:dyDescent="0.3">
      <c r="A187" s="2" t="s">
        <v>218</v>
      </c>
      <c r="B187" s="3">
        <v>46079</v>
      </c>
      <c r="C187" s="2" t="s">
        <v>22</v>
      </c>
      <c r="D187" s="2" t="s">
        <v>44</v>
      </c>
      <c r="E187" s="2" t="s">
        <v>30</v>
      </c>
      <c r="F187" s="2">
        <v>19</v>
      </c>
      <c r="G187" s="15">
        <v>998.47</v>
      </c>
      <c r="H187" s="15">
        <v>18970.93</v>
      </c>
      <c r="I187" s="2">
        <v>5</v>
      </c>
      <c r="J187" s="15">
        <v>18022.38</v>
      </c>
    </row>
    <row r="188" spans="1:10" x14ac:dyDescent="0.3">
      <c r="A188" s="2" t="s">
        <v>219</v>
      </c>
      <c r="B188" s="3">
        <v>46131</v>
      </c>
      <c r="C188" s="2" t="s">
        <v>18</v>
      </c>
      <c r="D188" s="2" t="s">
        <v>29</v>
      </c>
      <c r="E188" s="2" t="s">
        <v>37</v>
      </c>
      <c r="F188" s="2">
        <v>7</v>
      </c>
      <c r="G188" s="15">
        <v>941.21</v>
      </c>
      <c r="H188" s="15">
        <v>6588.47</v>
      </c>
      <c r="I188" s="2">
        <v>10</v>
      </c>
      <c r="J188" s="15">
        <v>5929.62</v>
      </c>
    </row>
    <row r="189" spans="1:10" x14ac:dyDescent="0.3">
      <c r="A189" s="2" t="s">
        <v>220</v>
      </c>
      <c r="B189" s="3">
        <v>45880</v>
      </c>
      <c r="C189" s="2" t="s">
        <v>18</v>
      </c>
      <c r="D189" s="2" t="s">
        <v>23</v>
      </c>
      <c r="E189" s="2" t="s">
        <v>30</v>
      </c>
      <c r="F189" s="2">
        <v>16</v>
      </c>
      <c r="G189" s="15">
        <v>499.36</v>
      </c>
      <c r="H189" s="15">
        <v>7989.76</v>
      </c>
      <c r="I189" s="2">
        <v>10</v>
      </c>
      <c r="J189" s="15">
        <v>7190.78</v>
      </c>
    </row>
    <row r="190" spans="1:10" x14ac:dyDescent="0.3">
      <c r="A190" s="2" t="s">
        <v>221</v>
      </c>
      <c r="B190" s="3">
        <v>45853</v>
      </c>
      <c r="C190" s="2" t="s">
        <v>22</v>
      </c>
      <c r="D190" s="2" t="s">
        <v>44</v>
      </c>
      <c r="E190" s="2" t="s">
        <v>39</v>
      </c>
      <c r="F190" s="2">
        <v>19</v>
      </c>
      <c r="G190" s="15">
        <v>886.75</v>
      </c>
      <c r="H190" s="15">
        <v>16848.25</v>
      </c>
      <c r="I190" s="2">
        <v>0</v>
      </c>
      <c r="J190" s="15">
        <v>16848.25</v>
      </c>
    </row>
    <row r="191" spans="1:10" x14ac:dyDescent="0.3">
      <c r="A191" s="2" t="s">
        <v>222</v>
      </c>
      <c r="B191" s="3">
        <v>45959</v>
      </c>
      <c r="C191" s="2" t="s">
        <v>18</v>
      </c>
      <c r="D191" s="2" t="s">
        <v>12</v>
      </c>
      <c r="E191" s="2" t="s">
        <v>27</v>
      </c>
      <c r="F191" s="2">
        <v>18</v>
      </c>
      <c r="G191" s="15">
        <v>807.71</v>
      </c>
      <c r="H191" s="15">
        <v>14538.78</v>
      </c>
      <c r="I191" s="2">
        <v>10</v>
      </c>
      <c r="J191" s="15">
        <v>13084.9</v>
      </c>
    </row>
    <row r="192" spans="1:10" x14ac:dyDescent="0.3">
      <c r="A192" s="2" t="s">
        <v>223</v>
      </c>
      <c r="B192" s="3">
        <v>46123</v>
      </c>
      <c r="C192" s="2" t="s">
        <v>22</v>
      </c>
      <c r="D192" s="2" t="s">
        <v>26</v>
      </c>
      <c r="E192" s="2" t="s">
        <v>87</v>
      </c>
      <c r="F192" s="2">
        <v>16</v>
      </c>
      <c r="G192" s="15">
        <v>434.86</v>
      </c>
      <c r="H192" s="15">
        <v>6957.76</v>
      </c>
      <c r="I192" s="2">
        <v>15</v>
      </c>
      <c r="J192" s="15">
        <v>5914.1</v>
      </c>
    </row>
    <row r="193" spans="1:10" x14ac:dyDescent="0.3">
      <c r="A193" s="2" t="s">
        <v>224</v>
      </c>
      <c r="B193" s="3">
        <v>45881</v>
      </c>
      <c r="C193" s="2" t="s">
        <v>22</v>
      </c>
      <c r="D193" s="2" t="s">
        <v>19</v>
      </c>
      <c r="E193" s="2" t="s">
        <v>20</v>
      </c>
      <c r="F193" s="2">
        <v>14</v>
      </c>
      <c r="G193" s="15">
        <v>827.42</v>
      </c>
      <c r="H193" s="15">
        <v>11583.88</v>
      </c>
      <c r="I193" s="2">
        <v>15</v>
      </c>
      <c r="J193" s="15">
        <v>9846.2999999999993</v>
      </c>
    </row>
    <row r="194" spans="1:10" x14ac:dyDescent="0.3">
      <c r="A194" s="2" t="s">
        <v>225</v>
      </c>
      <c r="B194" s="3">
        <v>45965</v>
      </c>
      <c r="C194" s="2" t="s">
        <v>15</v>
      </c>
      <c r="D194" s="2" t="s">
        <v>32</v>
      </c>
      <c r="E194" s="2" t="s">
        <v>76</v>
      </c>
      <c r="F194" s="2">
        <v>14</v>
      </c>
      <c r="G194" s="15">
        <v>678.8</v>
      </c>
      <c r="H194" s="15">
        <v>9503.2000000000007</v>
      </c>
      <c r="I194" s="2">
        <v>20</v>
      </c>
      <c r="J194" s="15">
        <v>7602.56</v>
      </c>
    </row>
    <row r="195" spans="1:10" x14ac:dyDescent="0.3">
      <c r="A195" s="2" t="s">
        <v>226</v>
      </c>
      <c r="B195" s="3">
        <v>45969</v>
      </c>
      <c r="C195" s="2" t="s">
        <v>18</v>
      </c>
      <c r="D195" s="2" t="s">
        <v>32</v>
      </c>
      <c r="E195" s="2" t="s">
        <v>20</v>
      </c>
      <c r="F195" s="2">
        <v>15</v>
      </c>
      <c r="G195" s="15">
        <v>312.25</v>
      </c>
      <c r="H195" s="15">
        <v>4683.75</v>
      </c>
      <c r="I195" s="2">
        <v>0</v>
      </c>
      <c r="J195" s="15">
        <v>4683.75</v>
      </c>
    </row>
    <row r="196" spans="1:10" x14ac:dyDescent="0.3">
      <c r="A196" s="2" t="s">
        <v>227</v>
      </c>
      <c r="B196" s="3">
        <v>46104</v>
      </c>
      <c r="C196" s="2" t="s">
        <v>22</v>
      </c>
      <c r="D196" s="2" t="s">
        <v>52</v>
      </c>
      <c r="E196" s="2" t="s">
        <v>76</v>
      </c>
      <c r="F196" s="2">
        <v>9</v>
      </c>
      <c r="G196" s="15">
        <v>288.43</v>
      </c>
      <c r="H196" s="15">
        <v>2595.87</v>
      </c>
      <c r="I196" s="2">
        <v>10</v>
      </c>
      <c r="J196" s="15">
        <v>2336.2800000000002</v>
      </c>
    </row>
    <row r="197" spans="1:10" x14ac:dyDescent="0.3">
      <c r="A197" s="2" t="s">
        <v>228</v>
      </c>
      <c r="B197" s="3">
        <v>46062</v>
      </c>
      <c r="C197" s="2" t="s">
        <v>11</v>
      </c>
      <c r="D197" s="2" t="s">
        <v>23</v>
      </c>
      <c r="E197" s="2" t="s">
        <v>39</v>
      </c>
      <c r="F197" s="2">
        <v>1</v>
      </c>
      <c r="G197" s="15">
        <v>817.86</v>
      </c>
      <c r="H197" s="15">
        <v>817.86</v>
      </c>
      <c r="I197" s="2">
        <v>0</v>
      </c>
      <c r="J197" s="15">
        <v>817.86</v>
      </c>
    </row>
    <row r="198" spans="1:10" x14ac:dyDescent="0.3">
      <c r="A198" s="2" t="s">
        <v>229</v>
      </c>
      <c r="B198" s="3">
        <v>46154</v>
      </c>
      <c r="C198" s="2" t="s">
        <v>18</v>
      </c>
      <c r="D198" s="2" t="s">
        <v>29</v>
      </c>
      <c r="E198" s="2" t="s">
        <v>37</v>
      </c>
      <c r="F198" s="2">
        <v>10</v>
      </c>
      <c r="G198" s="15">
        <v>291.88</v>
      </c>
      <c r="H198" s="15">
        <v>2918.8</v>
      </c>
      <c r="I198" s="2">
        <v>20</v>
      </c>
      <c r="J198" s="15">
        <v>2335.04</v>
      </c>
    </row>
    <row r="199" spans="1:10" x14ac:dyDescent="0.3">
      <c r="A199" s="2" t="s">
        <v>230</v>
      </c>
      <c r="B199" s="3">
        <v>46051</v>
      </c>
      <c r="C199" s="2" t="s">
        <v>11</v>
      </c>
      <c r="D199" s="2" t="s">
        <v>16</v>
      </c>
      <c r="E199" s="2" t="s">
        <v>76</v>
      </c>
      <c r="F199" s="2">
        <v>12</v>
      </c>
      <c r="G199" s="15">
        <v>598.37</v>
      </c>
      <c r="H199" s="15">
        <v>7180.44</v>
      </c>
      <c r="I199" s="2">
        <v>0</v>
      </c>
      <c r="J199" s="15">
        <v>7180.44</v>
      </c>
    </row>
    <row r="200" spans="1:10" x14ac:dyDescent="0.3">
      <c r="A200" s="2" t="s">
        <v>231</v>
      </c>
      <c r="B200" s="3">
        <v>45900</v>
      </c>
      <c r="C200" s="2" t="s">
        <v>15</v>
      </c>
      <c r="D200" s="2" t="s">
        <v>12</v>
      </c>
      <c r="E200" s="2" t="s">
        <v>87</v>
      </c>
      <c r="F200" s="2">
        <v>6</v>
      </c>
      <c r="G200" s="15">
        <v>496.05</v>
      </c>
      <c r="H200" s="15">
        <v>2976.3</v>
      </c>
      <c r="I200" s="2">
        <v>0</v>
      </c>
      <c r="J200" s="15">
        <v>2976.3</v>
      </c>
    </row>
    <row r="201" spans="1:10" x14ac:dyDescent="0.3">
      <c r="A201" s="2" t="s">
        <v>232</v>
      </c>
      <c r="B201" s="3">
        <v>46006</v>
      </c>
      <c r="C201" s="2" t="s">
        <v>15</v>
      </c>
      <c r="D201" s="2" t="s">
        <v>26</v>
      </c>
      <c r="E201" s="2" t="s">
        <v>30</v>
      </c>
      <c r="F201" s="2">
        <v>18</v>
      </c>
      <c r="G201" s="15">
        <v>230.27</v>
      </c>
      <c r="H201" s="15">
        <v>4144.8599999999997</v>
      </c>
      <c r="I201" s="2">
        <v>0</v>
      </c>
      <c r="J201" s="15">
        <v>4144.8599999999997</v>
      </c>
    </row>
    <row r="202" spans="1:10" x14ac:dyDescent="0.3">
      <c r="A202" s="2" t="s">
        <v>233</v>
      </c>
      <c r="B202" s="3">
        <v>45947</v>
      </c>
      <c r="C202" s="2" t="s">
        <v>15</v>
      </c>
      <c r="D202" s="2" t="s">
        <v>16</v>
      </c>
      <c r="E202" s="2" t="s">
        <v>13</v>
      </c>
      <c r="F202" s="2">
        <v>11</v>
      </c>
      <c r="G202" s="15">
        <v>175.99</v>
      </c>
      <c r="H202" s="15">
        <v>1935.89</v>
      </c>
      <c r="I202" s="2">
        <v>10</v>
      </c>
      <c r="J202" s="15">
        <v>1742.3</v>
      </c>
    </row>
    <row r="203" spans="1:10" x14ac:dyDescent="0.3">
      <c r="A203" s="2" t="s">
        <v>234</v>
      </c>
      <c r="B203" s="3">
        <v>46027</v>
      </c>
      <c r="C203" s="2" t="s">
        <v>11</v>
      </c>
      <c r="D203" s="2" t="s">
        <v>60</v>
      </c>
      <c r="E203" s="2" t="s">
        <v>24</v>
      </c>
      <c r="F203" s="2">
        <v>17</v>
      </c>
      <c r="G203" s="15">
        <v>487.65</v>
      </c>
      <c r="H203" s="15">
        <v>8290.0499999999993</v>
      </c>
      <c r="I203" s="2">
        <v>10</v>
      </c>
      <c r="J203" s="15">
        <v>7461.04</v>
      </c>
    </row>
    <row r="204" spans="1:10" x14ac:dyDescent="0.3">
      <c r="A204" s="2" t="s">
        <v>235</v>
      </c>
      <c r="B204" s="3">
        <v>45985</v>
      </c>
      <c r="C204" s="2" t="s">
        <v>18</v>
      </c>
      <c r="D204" s="2" t="s">
        <v>44</v>
      </c>
      <c r="E204" s="2" t="s">
        <v>39</v>
      </c>
      <c r="F204" s="2">
        <v>6</v>
      </c>
      <c r="G204" s="15">
        <v>910.89</v>
      </c>
      <c r="H204" s="15">
        <v>5465.34</v>
      </c>
      <c r="I204" s="2">
        <v>0</v>
      </c>
      <c r="J204" s="15">
        <v>5465.34</v>
      </c>
    </row>
    <row r="205" spans="1:10" x14ac:dyDescent="0.3">
      <c r="A205" s="2" t="s">
        <v>236</v>
      </c>
      <c r="B205" s="3">
        <v>45827</v>
      </c>
      <c r="C205" s="2" t="s">
        <v>11</v>
      </c>
      <c r="D205" s="2" t="s">
        <v>52</v>
      </c>
      <c r="E205" s="2" t="s">
        <v>24</v>
      </c>
      <c r="F205" s="2">
        <v>14</v>
      </c>
      <c r="G205" s="15">
        <v>458.24</v>
      </c>
      <c r="H205" s="15">
        <v>6415.36</v>
      </c>
      <c r="I205" s="2">
        <v>10</v>
      </c>
      <c r="J205" s="15">
        <v>5773.82</v>
      </c>
    </row>
    <row r="206" spans="1:10" x14ac:dyDescent="0.3">
      <c r="A206" s="2" t="s">
        <v>237</v>
      </c>
      <c r="B206" s="3">
        <v>45810</v>
      </c>
      <c r="C206" s="2" t="s">
        <v>11</v>
      </c>
      <c r="D206" s="2" t="s">
        <v>23</v>
      </c>
      <c r="E206" s="2" t="s">
        <v>27</v>
      </c>
      <c r="F206" s="2">
        <v>17</v>
      </c>
      <c r="G206" s="15">
        <v>577.66</v>
      </c>
      <c r="H206" s="15">
        <v>9820.2199999999993</v>
      </c>
      <c r="I206" s="2">
        <v>20</v>
      </c>
      <c r="J206" s="15">
        <v>7856.18</v>
      </c>
    </row>
    <row r="207" spans="1:10" x14ac:dyDescent="0.3">
      <c r="A207" s="2" t="s">
        <v>238</v>
      </c>
      <c r="B207" s="3">
        <v>45863</v>
      </c>
      <c r="C207" s="2" t="s">
        <v>22</v>
      </c>
      <c r="D207" s="2" t="s">
        <v>16</v>
      </c>
      <c r="E207" s="2" t="s">
        <v>87</v>
      </c>
      <c r="F207" s="2">
        <v>18</v>
      </c>
      <c r="G207" s="15">
        <v>580.89</v>
      </c>
      <c r="H207" s="15">
        <v>10456.02</v>
      </c>
      <c r="I207" s="2">
        <v>20</v>
      </c>
      <c r="J207" s="15">
        <v>8364.82</v>
      </c>
    </row>
    <row r="208" spans="1:10" x14ac:dyDescent="0.3">
      <c r="A208" s="2" t="s">
        <v>239</v>
      </c>
      <c r="B208" s="3">
        <v>45972</v>
      </c>
      <c r="C208" s="2" t="s">
        <v>11</v>
      </c>
      <c r="D208" s="2" t="s">
        <v>16</v>
      </c>
      <c r="E208" s="2" t="s">
        <v>76</v>
      </c>
      <c r="F208" s="2">
        <v>5</v>
      </c>
      <c r="G208" s="15">
        <v>374.83</v>
      </c>
      <c r="H208" s="15">
        <v>1874.15</v>
      </c>
      <c r="I208" s="2">
        <v>0</v>
      </c>
      <c r="J208" s="15">
        <v>1874.15</v>
      </c>
    </row>
    <row r="209" spans="1:10" x14ac:dyDescent="0.3">
      <c r="A209" s="2" t="s">
        <v>240</v>
      </c>
      <c r="B209" s="3">
        <v>45810</v>
      </c>
      <c r="C209" s="2" t="s">
        <v>15</v>
      </c>
      <c r="D209" s="2" t="s">
        <v>23</v>
      </c>
      <c r="E209" s="2" t="s">
        <v>39</v>
      </c>
      <c r="F209" s="2">
        <v>6</v>
      </c>
      <c r="G209" s="15">
        <v>324.7</v>
      </c>
      <c r="H209" s="15">
        <v>1948.2</v>
      </c>
      <c r="I209" s="2">
        <v>5</v>
      </c>
      <c r="J209" s="15">
        <v>1850.79</v>
      </c>
    </row>
    <row r="210" spans="1:10" x14ac:dyDescent="0.3">
      <c r="A210" s="2" t="s">
        <v>241</v>
      </c>
      <c r="B210" s="3">
        <v>46000</v>
      </c>
      <c r="C210" s="2" t="s">
        <v>22</v>
      </c>
      <c r="D210" s="2" t="s">
        <v>60</v>
      </c>
      <c r="E210" s="2" t="s">
        <v>13</v>
      </c>
      <c r="F210" s="2">
        <v>19</v>
      </c>
      <c r="G210" s="15">
        <v>860.93</v>
      </c>
      <c r="H210" s="15">
        <v>16357.67</v>
      </c>
      <c r="I210" s="2">
        <v>10</v>
      </c>
      <c r="J210" s="15">
        <v>14721.9</v>
      </c>
    </row>
    <row r="211" spans="1:10" x14ac:dyDescent="0.3">
      <c r="A211" s="2" t="s">
        <v>242</v>
      </c>
      <c r="B211" s="3">
        <v>46067</v>
      </c>
      <c r="C211" s="2" t="s">
        <v>15</v>
      </c>
      <c r="D211" s="2" t="s">
        <v>60</v>
      </c>
      <c r="E211" s="2" t="s">
        <v>24</v>
      </c>
      <c r="F211" s="2">
        <v>4</v>
      </c>
      <c r="G211" s="15">
        <v>645.44000000000005</v>
      </c>
      <c r="H211" s="15">
        <v>2581.7600000000002</v>
      </c>
      <c r="I211" s="2">
        <v>5</v>
      </c>
      <c r="J211" s="15">
        <v>2452.67</v>
      </c>
    </row>
    <row r="212" spans="1:10" x14ac:dyDescent="0.3">
      <c r="A212" s="2" t="s">
        <v>243</v>
      </c>
      <c r="B212" s="3">
        <v>46129</v>
      </c>
      <c r="C212" s="2" t="s">
        <v>18</v>
      </c>
      <c r="D212" s="2" t="s">
        <v>52</v>
      </c>
      <c r="E212" s="2" t="s">
        <v>20</v>
      </c>
      <c r="F212" s="2">
        <v>12</v>
      </c>
      <c r="G212" s="15">
        <v>759.86</v>
      </c>
      <c r="H212" s="15">
        <v>9118.32</v>
      </c>
      <c r="I212" s="2">
        <v>15</v>
      </c>
      <c r="J212" s="15">
        <v>7750.57</v>
      </c>
    </row>
    <row r="213" spans="1:10" x14ac:dyDescent="0.3">
      <c r="A213" s="2" t="s">
        <v>244</v>
      </c>
      <c r="B213" s="3">
        <v>46150</v>
      </c>
      <c r="C213" s="2" t="s">
        <v>11</v>
      </c>
      <c r="D213" s="2" t="s">
        <v>12</v>
      </c>
      <c r="E213" s="2" t="s">
        <v>20</v>
      </c>
      <c r="F213" s="2">
        <v>9</v>
      </c>
      <c r="G213" s="15">
        <v>724.07</v>
      </c>
      <c r="H213" s="15">
        <v>6516.63</v>
      </c>
      <c r="I213" s="2">
        <v>20</v>
      </c>
      <c r="J213" s="15">
        <v>5213.3</v>
      </c>
    </row>
    <row r="214" spans="1:10" x14ac:dyDescent="0.3">
      <c r="A214" s="2" t="s">
        <v>245</v>
      </c>
      <c r="B214" s="3">
        <v>45840</v>
      </c>
      <c r="C214" s="2" t="s">
        <v>18</v>
      </c>
      <c r="D214" s="2" t="s">
        <v>16</v>
      </c>
      <c r="E214" s="2" t="s">
        <v>30</v>
      </c>
      <c r="F214" s="2">
        <v>7</v>
      </c>
      <c r="G214" s="15">
        <v>581.41999999999996</v>
      </c>
      <c r="H214" s="15">
        <v>4069.94</v>
      </c>
      <c r="I214" s="2">
        <v>0</v>
      </c>
      <c r="J214" s="15">
        <v>4069.94</v>
      </c>
    </row>
    <row r="215" spans="1:10" x14ac:dyDescent="0.3">
      <c r="A215" s="2" t="s">
        <v>246</v>
      </c>
      <c r="B215" s="3">
        <v>45855</v>
      </c>
      <c r="C215" s="2" t="s">
        <v>18</v>
      </c>
      <c r="D215" s="2" t="s">
        <v>44</v>
      </c>
      <c r="E215" s="2" t="s">
        <v>87</v>
      </c>
      <c r="F215" s="2">
        <v>6</v>
      </c>
      <c r="G215" s="15">
        <v>938.44</v>
      </c>
      <c r="H215" s="15">
        <v>5630.64</v>
      </c>
      <c r="I215" s="2">
        <v>5</v>
      </c>
      <c r="J215" s="15">
        <v>5349.11</v>
      </c>
    </row>
    <row r="216" spans="1:10" x14ac:dyDescent="0.3">
      <c r="A216" s="2" t="s">
        <v>247</v>
      </c>
      <c r="B216" s="3">
        <v>45816</v>
      </c>
      <c r="C216" s="2" t="s">
        <v>15</v>
      </c>
      <c r="D216" s="2" t="s">
        <v>26</v>
      </c>
      <c r="E216" s="2" t="s">
        <v>30</v>
      </c>
      <c r="F216" s="2">
        <v>7</v>
      </c>
      <c r="G216" s="15">
        <v>51.81</v>
      </c>
      <c r="H216" s="15">
        <v>362.67</v>
      </c>
      <c r="I216" s="2">
        <v>0</v>
      </c>
      <c r="J216" s="15">
        <v>362.67</v>
      </c>
    </row>
    <row r="217" spans="1:10" x14ac:dyDescent="0.3">
      <c r="A217" s="2" t="s">
        <v>248</v>
      </c>
      <c r="B217" s="3">
        <v>45893</v>
      </c>
      <c r="C217" s="2" t="s">
        <v>15</v>
      </c>
      <c r="D217" s="2" t="s">
        <v>12</v>
      </c>
      <c r="E217" s="2" t="s">
        <v>76</v>
      </c>
      <c r="F217" s="2">
        <v>18</v>
      </c>
      <c r="G217" s="15">
        <v>747.84</v>
      </c>
      <c r="H217" s="15">
        <v>13461.12</v>
      </c>
      <c r="I217" s="2">
        <v>0</v>
      </c>
      <c r="J217" s="15">
        <v>13461.12</v>
      </c>
    </row>
    <row r="218" spans="1:10" x14ac:dyDescent="0.3">
      <c r="A218" s="2" t="s">
        <v>249</v>
      </c>
      <c r="B218" s="3">
        <v>45904</v>
      </c>
      <c r="C218" s="2" t="s">
        <v>11</v>
      </c>
      <c r="D218" s="2" t="s">
        <v>32</v>
      </c>
      <c r="E218" s="2" t="s">
        <v>37</v>
      </c>
      <c r="F218" s="2">
        <v>2</v>
      </c>
      <c r="G218" s="15">
        <v>70.2</v>
      </c>
      <c r="H218" s="15">
        <v>140.4</v>
      </c>
      <c r="I218" s="2">
        <v>10</v>
      </c>
      <c r="J218" s="15">
        <v>126.36</v>
      </c>
    </row>
    <row r="219" spans="1:10" x14ac:dyDescent="0.3">
      <c r="A219" s="2" t="s">
        <v>250</v>
      </c>
      <c r="B219" s="3">
        <v>46041</v>
      </c>
      <c r="C219" s="2" t="s">
        <v>22</v>
      </c>
      <c r="D219" s="2" t="s">
        <v>32</v>
      </c>
      <c r="E219" s="2" t="s">
        <v>33</v>
      </c>
      <c r="F219" s="2">
        <v>8</v>
      </c>
      <c r="G219" s="15">
        <v>798.16</v>
      </c>
      <c r="H219" s="15">
        <v>6385.28</v>
      </c>
      <c r="I219" s="2">
        <v>0</v>
      </c>
      <c r="J219" s="15">
        <v>6385.28</v>
      </c>
    </row>
    <row r="220" spans="1:10" x14ac:dyDescent="0.3">
      <c r="A220" s="2" t="s">
        <v>251</v>
      </c>
      <c r="B220" s="3">
        <v>46070</v>
      </c>
      <c r="C220" s="2" t="s">
        <v>18</v>
      </c>
      <c r="D220" s="2" t="s">
        <v>12</v>
      </c>
      <c r="E220" s="2" t="s">
        <v>87</v>
      </c>
      <c r="F220" s="2">
        <v>14</v>
      </c>
      <c r="G220" s="15">
        <v>783.76</v>
      </c>
      <c r="H220" s="15">
        <v>10972.64</v>
      </c>
      <c r="I220" s="2">
        <v>20</v>
      </c>
      <c r="J220" s="15">
        <v>8778.11</v>
      </c>
    </row>
    <row r="221" spans="1:10" x14ac:dyDescent="0.3">
      <c r="A221" s="2" t="s">
        <v>252</v>
      </c>
      <c r="B221" s="3">
        <v>45855</v>
      </c>
      <c r="C221" s="2" t="s">
        <v>15</v>
      </c>
      <c r="D221" s="2" t="s">
        <v>32</v>
      </c>
      <c r="E221" s="2" t="s">
        <v>30</v>
      </c>
      <c r="F221" s="2">
        <v>19</v>
      </c>
      <c r="G221" s="15">
        <v>969.3</v>
      </c>
      <c r="H221" s="15">
        <v>18416.7</v>
      </c>
      <c r="I221" s="2">
        <v>15</v>
      </c>
      <c r="J221" s="15">
        <v>15654.19</v>
      </c>
    </row>
    <row r="222" spans="1:10" x14ac:dyDescent="0.3">
      <c r="A222" s="2" t="s">
        <v>253</v>
      </c>
      <c r="B222" s="3">
        <v>46148</v>
      </c>
      <c r="C222" s="2" t="s">
        <v>15</v>
      </c>
      <c r="D222" s="2" t="s">
        <v>44</v>
      </c>
      <c r="E222" s="2" t="s">
        <v>76</v>
      </c>
      <c r="F222" s="2">
        <v>17</v>
      </c>
      <c r="G222" s="15">
        <v>670.22</v>
      </c>
      <c r="H222" s="15">
        <v>11393.74</v>
      </c>
      <c r="I222" s="2">
        <v>5</v>
      </c>
      <c r="J222" s="15">
        <v>10824.05</v>
      </c>
    </row>
    <row r="223" spans="1:10" x14ac:dyDescent="0.3">
      <c r="A223" s="2" t="s">
        <v>254</v>
      </c>
      <c r="B223" s="3">
        <v>45882</v>
      </c>
      <c r="C223" s="2" t="s">
        <v>11</v>
      </c>
      <c r="D223" s="2" t="s">
        <v>26</v>
      </c>
      <c r="E223" s="2" t="s">
        <v>33</v>
      </c>
      <c r="F223" s="2">
        <v>15</v>
      </c>
      <c r="G223" s="15">
        <v>97.37</v>
      </c>
      <c r="H223" s="15">
        <v>1460.55</v>
      </c>
      <c r="I223" s="2">
        <v>15</v>
      </c>
      <c r="J223" s="15">
        <v>1241.47</v>
      </c>
    </row>
    <row r="224" spans="1:10" x14ac:dyDescent="0.3">
      <c r="A224" s="2" t="s">
        <v>255</v>
      </c>
      <c r="B224" s="3">
        <v>45923</v>
      </c>
      <c r="C224" s="2" t="s">
        <v>11</v>
      </c>
      <c r="D224" s="2" t="s">
        <v>29</v>
      </c>
      <c r="E224" s="2" t="s">
        <v>30</v>
      </c>
      <c r="F224" s="2">
        <v>7</v>
      </c>
      <c r="G224" s="15">
        <v>501.95</v>
      </c>
      <c r="H224" s="15">
        <v>3513.65</v>
      </c>
      <c r="I224" s="2">
        <v>10</v>
      </c>
      <c r="J224" s="15">
        <v>3162.28</v>
      </c>
    </row>
    <row r="225" spans="1:10" x14ac:dyDescent="0.3">
      <c r="A225" s="2" t="s">
        <v>256</v>
      </c>
      <c r="B225" s="3">
        <v>45870</v>
      </c>
      <c r="C225" s="2" t="s">
        <v>22</v>
      </c>
      <c r="D225" s="2" t="s">
        <v>32</v>
      </c>
      <c r="E225" s="2" t="s">
        <v>76</v>
      </c>
      <c r="F225" s="2">
        <v>1</v>
      </c>
      <c r="G225" s="15">
        <v>810.93</v>
      </c>
      <c r="H225" s="15">
        <v>810.93</v>
      </c>
      <c r="I225" s="2">
        <v>10</v>
      </c>
      <c r="J225" s="15">
        <v>729.84</v>
      </c>
    </row>
    <row r="226" spans="1:10" x14ac:dyDescent="0.3">
      <c r="A226" s="2" t="s">
        <v>257</v>
      </c>
      <c r="B226" s="3">
        <v>45831</v>
      </c>
      <c r="C226" s="2" t="s">
        <v>22</v>
      </c>
      <c r="D226" s="2" t="s">
        <v>16</v>
      </c>
      <c r="E226" s="2" t="s">
        <v>33</v>
      </c>
      <c r="F226" s="2">
        <v>7</v>
      </c>
      <c r="G226" s="15">
        <v>753.54</v>
      </c>
      <c r="H226" s="15">
        <v>5274.78</v>
      </c>
      <c r="I226" s="2">
        <v>10</v>
      </c>
      <c r="J226" s="15">
        <v>4747.3</v>
      </c>
    </row>
    <row r="227" spans="1:10" x14ac:dyDescent="0.3">
      <c r="A227" s="2" t="s">
        <v>258</v>
      </c>
      <c r="B227" s="3">
        <v>46138</v>
      </c>
      <c r="C227" s="2" t="s">
        <v>15</v>
      </c>
      <c r="D227" s="2" t="s">
        <v>60</v>
      </c>
      <c r="E227" s="2" t="s">
        <v>37</v>
      </c>
      <c r="F227" s="2">
        <v>15</v>
      </c>
      <c r="G227" s="15">
        <v>165.89</v>
      </c>
      <c r="H227" s="15">
        <v>2488.35</v>
      </c>
      <c r="I227" s="2">
        <v>0</v>
      </c>
      <c r="J227" s="15">
        <v>2488.35</v>
      </c>
    </row>
    <row r="228" spans="1:10" x14ac:dyDescent="0.3">
      <c r="A228" s="2" t="s">
        <v>259</v>
      </c>
      <c r="B228" s="3">
        <v>45972</v>
      </c>
      <c r="C228" s="2" t="s">
        <v>22</v>
      </c>
      <c r="D228" s="2" t="s">
        <v>23</v>
      </c>
      <c r="E228" s="2" t="s">
        <v>24</v>
      </c>
      <c r="F228" s="2">
        <v>9</v>
      </c>
      <c r="G228" s="15">
        <v>324.91000000000003</v>
      </c>
      <c r="H228" s="15">
        <v>2924.19</v>
      </c>
      <c r="I228" s="2">
        <v>5</v>
      </c>
      <c r="J228" s="15">
        <v>2777.98</v>
      </c>
    </row>
    <row r="229" spans="1:10" x14ac:dyDescent="0.3">
      <c r="A229" s="2" t="s">
        <v>260</v>
      </c>
      <c r="B229" s="3">
        <v>46105</v>
      </c>
      <c r="C229" s="2" t="s">
        <v>22</v>
      </c>
      <c r="D229" s="2" t="s">
        <v>23</v>
      </c>
      <c r="E229" s="2" t="s">
        <v>27</v>
      </c>
      <c r="F229" s="2">
        <v>5</v>
      </c>
      <c r="G229" s="15">
        <v>221.3</v>
      </c>
      <c r="H229" s="15">
        <v>1106.5</v>
      </c>
      <c r="I229" s="2">
        <v>5</v>
      </c>
      <c r="J229" s="15">
        <v>1051.17</v>
      </c>
    </row>
    <row r="230" spans="1:10" x14ac:dyDescent="0.3">
      <c r="A230" s="2" t="s">
        <v>261</v>
      </c>
      <c r="B230" s="3">
        <v>46139</v>
      </c>
      <c r="C230" s="2" t="s">
        <v>15</v>
      </c>
      <c r="D230" s="2" t="s">
        <v>29</v>
      </c>
      <c r="E230" s="2" t="s">
        <v>87</v>
      </c>
      <c r="F230" s="2">
        <v>6</v>
      </c>
      <c r="G230" s="15">
        <v>944.33</v>
      </c>
      <c r="H230" s="15">
        <v>5665.98</v>
      </c>
      <c r="I230" s="2">
        <v>10</v>
      </c>
      <c r="J230" s="15">
        <v>5099.38</v>
      </c>
    </row>
    <row r="231" spans="1:10" x14ac:dyDescent="0.3">
      <c r="A231" s="2" t="s">
        <v>262</v>
      </c>
      <c r="B231" s="3">
        <v>46132</v>
      </c>
      <c r="C231" s="2" t="s">
        <v>11</v>
      </c>
      <c r="D231" s="2" t="s">
        <v>52</v>
      </c>
      <c r="E231" s="2" t="s">
        <v>39</v>
      </c>
      <c r="F231" s="2">
        <v>15</v>
      </c>
      <c r="G231" s="15">
        <v>647.57000000000005</v>
      </c>
      <c r="H231" s="15">
        <v>9713.5499999999993</v>
      </c>
      <c r="I231" s="2">
        <v>20</v>
      </c>
      <c r="J231" s="15">
        <v>7770.84</v>
      </c>
    </row>
    <row r="232" spans="1:10" x14ac:dyDescent="0.3">
      <c r="A232" s="2" t="s">
        <v>263</v>
      </c>
      <c r="B232" s="3">
        <v>45928</v>
      </c>
      <c r="C232" s="2" t="s">
        <v>18</v>
      </c>
      <c r="D232" s="2" t="s">
        <v>44</v>
      </c>
      <c r="E232" s="2" t="s">
        <v>13</v>
      </c>
      <c r="F232" s="2">
        <v>7</v>
      </c>
      <c r="G232" s="15">
        <v>175.19</v>
      </c>
      <c r="H232" s="15">
        <v>1226.33</v>
      </c>
      <c r="I232" s="2">
        <v>5</v>
      </c>
      <c r="J232" s="15">
        <v>1165.01</v>
      </c>
    </row>
    <row r="233" spans="1:10" x14ac:dyDescent="0.3">
      <c r="A233" s="2" t="s">
        <v>264</v>
      </c>
      <c r="B233" s="3">
        <v>46132</v>
      </c>
      <c r="C233" s="2" t="s">
        <v>11</v>
      </c>
      <c r="D233" s="2" t="s">
        <v>44</v>
      </c>
      <c r="E233" s="2" t="s">
        <v>37</v>
      </c>
      <c r="F233" s="2">
        <v>9</v>
      </c>
      <c r="G233" s="15">
        <v>226.78</v>
      </c>
      <c r="H233" s="15">
        <v>2041.02</v>
      </c>
      <c r="I233" s="2">
        <v>20</v>
      </c>
      <c r="J233" s="15">
        <v>1632.82</v>
      </c>
    </row>
    <row r="234" spans="1:10" x14ac:dyDescent="0.3">
      <c r="A234" s="2" t="s">
        <v>265</v>
      </c>
      <c r="B234" s="3">
        <v>45989</v>
      </c>
      <c r="C234" s="2" t="s">
        <v>15</v>
      </c>
      <c r="D234" s="2" t="s">
        <v>26</v>
      </c>
      <c r="E234" s="2" t="s">
        <v>37</v>
      </c>
      <c r="F234" s="2">
        <v>1</v>
      </c>
      <c r="G234" s="15">
        <v>294.52999999999997</v>
      </c>
      <c r="H234" s="15">
        <v>294.52999999999997</v>
      </c>
      <c r="I234" s="2">
        <v>15</v>
      </c>
      <c r="J234" s="15">
        <v>250.35</v>
      </c>
    </row>
    <row r="235" spans="1:10" x14ac:dyDescent="0.3">
      <c r="A235" s="2" t="s">
        <v>266</v>
      </c>
      <c r="B235" s="3">
        <v>45959</v>
      </c>
      <c r="C235" s="2" t="s">
        <v>11</v>
      </c>
      <c r="D235" s="2" t="s">
        <v>26</v>
      </c>
      <c r="E235" s="2" t="s">
        <v>20</v>
      </c>
      <c r="F235" s="2">
        <v>10</v>
      </c>
      <c r="G235" s="15">
        <v>633.92999999999995</v>
      </c>
      <c r="H235" s="15">
        <v>6339.3</v>
      </c>
      <c r="I235" s="2">
        <v>5</v>
      </c>
      <c r="J235" s="15">
        <v>6022.34</v>
      </c>
    </row>
    <row r="236" spans="1:10" x14ac:dyDescent="0.3">
      <c r="A236" s="2" t="s">
        <v>267</v>
      </c>
      <c r="B236" s="3">
        <v>45836</v>
      </c>
      <c r="C236" s="2" t="s">
        <v>22</v>
      </c>
      <c r="D236" s="2" t="s">
        <v>12</v>
      </c>
      <c r="E236" s="2" t="s">
        <v>39</v>
      </c>
      <c r="F236" s="2">
        <v>13</v>
      </c>
      <c r="G236" s="15">
        <v>533.11</v>
      </c>
      <c r="H236" s="15">
        <v>6930.43</v>
      </c>
      <c r="I236" s="2">
        <v>20</v>
      </c>
      <c r="J236" s="15">
        <v>5544.34</v>
      </c>
    </row>
    <row r="237" spans="1:10" x14ac:dyDescent="0.3">
      <c r="A237" s="2" t="s">
        <v>268</v>
      </c>
      <c r="B237" s="3">
        <v>46047</v>
      </c>
      <c r="C237" s="2" t="s">
        <v>15</v>
      </c>
      <c r="D237" s="2" t="s">
        <v>16</v>
      </c>
      <c r="E237" s="2" t="s">
        <v>87</v>
      </c>
      <c r="F237" s="2">
        <v>5</v>
      </c>
      <c r="G237" s="15">
        <v>176.73</v>
      </c>
      <c r="H237" s="15">
        <v>883.65</v>
      </c>
      <c r="I237" s="2">
        <v>5</v>
      </c>
      <c r="J237" s="15">
        <v>839.47</v>
      </c>
    </row>
    <row r="238" spans="1:10" x14ac:dyDescent="0.3">
      <c r="A238" s="2" t="s">
        <v>269</v>
      </c>
      <c r="B238" s="3">
        <v>46052</v>
      </c>
      <c r="C238" s="2" t="s">
        <v>18</v>
      </c>
      <c r="D238" s="2" t="s">
        <v>52</v>
      </c>
      <c r="E238" s="2" t="s">
        <v>27</v>
      </c>
      <c r="F238" s="2">
        <v>19</v>
      </c>
      <c r="G238" s="15">
        <v>286.23</v>
      </c>
      <c r="H238" s="15">
        <v>5438.37</v>
      </c>
      <c r="I238" s="2">
        <v>5</v>
      </c>
      <c r="J238" s="15">
        <v>5166.45</v>
      </c>
    </row>
    <row r="239" spans="1:10" x14ac:dyDescent="0.3">
      <c r="A239" s="2" t="s">
        <v>270</v>
      </c>
      <c r="B239" s="3">
        <v>46139</v>
      </c>
      <c r="C239" s="2" t="s">
        <v>15</v>
      </c>
      <c r="D239" s="2" t="s">
        <v>23</v>
      </c>
      <c r="E239" s="2" t="s">
        <v>13</v>
      </c>
      <c r="F239" s="2">
        <v>5</v>
      </c>
      <c r="G239" s="15">
        <v>517.19000000000005</v>
      </c>
      <c r="H239" s="15">
        <v>2585.9499999999998</v>
      </c>
      <c r="I239" s="2">
        <v>10</v>
      </c>
      <c r="J239" s="15">
        <v>2327.35</v>
      </c>
    </row>
    <row r="240" spans="1:10" x14ac:dyDescent="0.3">
      <c r="A240" s="2" t="s">
        <v>271</v>
      </c>
      <c r="B240" s="3">
        <v>45897</v>
      </c>
      <c r="C240" s="2" t="s">
        <v>15</v>
      </c>
      <c r="D240" s="2" t="s">
        <v>60</v>
      </c>
      <c r="E240" s="2" t="s">
        <v>30</v>
      </c>
      <c r="F240" s="2">
        <v>9</v>
      </c>
      <c r="G240" s="15">
        <v>595.23</v>
      </c>
      <c r="H240" s="15">
        <v>5357.07</v>
      </c>
      <c r="I240" s="2">
        <v>15</v>
      </c>
      <c r="J240" s="15">
        <v>4553.51</v>
      </c>
    </row>
    <row r="241" spans="1:10" x14ac:dyDescent="0.3">
      <c r="A241" s="2" t="s">
        <v>272</v>
      </c>
      <c r="B241" s="3">
        <v>45881</v>
      </c>
      <c r="C241" s="2" t="s">
        <v>18</v>
      </c>
      <c r="D241" s="2" t="s">
        <v>32</v>
      </c>
      <c r="E241" s="2" t="s">
        <v>13</v>
      </c>
      <c r="F241" s="2">
        <v>15</v>
      </c>
      <c r="G241" s="15">
        <v>540.88</v>
      </c>
      <c r="H241" s="15">
        <v>8113.2</v>
      </c>
      <c r="I241" s="2">
        <v>0</v>
      </c>
      <c r="J241" s="15">
        <v>8113.2</v>
      </c>
    </row>
    <row r="242" spans="1:10" x14ac:dyDescent="0.3">
      <c r="A242" s="2" t="s">
        <v>273</v>
      </c>
      <c r="B242" s="3">
        <v>45830</v>
      </c>
      <c r="C242" s="2" t="s">
        <v>15</v>
      </c>
      <c r="D242" s="2" t="s">
        <v>32</v>
      </c>
      <c r="E242" s="2" t="s">
        <v>13</v>
      </c>
      <c r="F242" s="2">
        <v>17</v>
      </c>
      <c r="G242" s="15">
        <v>799.76</v>
      </c>
      <c r="H242" s="15">
        <v>13595.92</v>
      </c>
      <c r="I242" s="2">
        <v>5</v>
      </c>
      <c r="J242" s="15">
        <v>12916.12</v>
      </c>
    </row>
    <row r="243" spans="1:10" x14ac:dyDescent="0.3">
      <c r="A243" s="2" t="s">
        <v>274</v>
      </c>
      <c r="B243" s="3">
        <v>45980</v>
      </c>
      <c r="C243" s="2" t="s">
        <v>15</v>
      </c>
      <c r="D243" s="2" t="s">
        <v>26</v>
      </c>
      <c r="E243" s="2" t="s">
        <v>24</v>
      </c>
      <c r="F243" s="2">
        <v>5</v>
      </c>
      <c r="G243" s="15">
        <v>824.07</v>
      </c>
      <c r="H243" s="15">
        <v>4120.3500000000004</v>
      </c>
      <c r="I243" s="2">
        <v>0</v>
      </c>
      <c r="J243" s="15">
        <v>4120.3500000000004</v>
      </c>
    </row>
    <row r="244" spans="1:10" x14ac:dyDescent="0.3">
      <c r="A244" s="2" t="s">
        <v>275</v>
      </c>
      <c r="B244" s="3">
        <v>46059</v>
      </c>
      <c r="C244" s="2" t="s">
        <v>22</v>
      </c>
      <c r="D244" s="2" t="s">
        <v>60</v>
      </c>
      <c r="E244" s="2" t="s">
        <v>87</v>
      </c>
      <c r="F244" s="2">
        <v>7</v>
      </c>
      <c r="G244" s="15">
        <v>325.66000000000003</v>
      </c>
      <c r="H244" s="15">
        <v>2279.62</v>
      </c>
      <c r="I244" s="2">
        <v>0</v>
      </c>
      <c r="J244" s="15">
        <v>2279.62</v>
      </c>
    </row>
    <row r="245" spans="1:10" x14ac:dyDescent="0.3">
      <c r="A245" s="2" t="s">
        <v>276</v>
      </c>
      <c r="B245" s="3">
        <v>45830</v>
      </c>
      <c r="C245" s="2" t="s">
        <v>18</v>
      </c>
      <c r="D245" s="2" t="s">
        <v>29</v>
      </c>
      <c r="E245" s="2" t="s">
        <v>87</v>
      </c>
      <c r="F245" s="2">
        <v>10</v>
      </c>
      <c r="G245" s="15">
        <v>793.51</v>
      </c>
      <c r="H245" s="15">
        <v>7935.1</v>
      </c>
      <c r="I245" s="2">
        <v>0</v>
      </c>
      <c r="J245" s="15">
        <v>7935.1</v>
      </c>
    </row>
    <row r="246" spans="1:10" x14ac:dyDescent="0.3">
      <c r="A246" s="2" t="s">
        <v>277</v>
      </c>
      <c r="B246" s="3">
        <v>46137</v>
      </c>
      <c r="C246" s="2" t="s">
        <v>22</v>
      </c>
      <c r="D246" s="2" t="s">
        <v>60</v>
      </c>
      <c r="E246" s="2" t="s">
        <v>30</v>
      </c>
      <c r="F246" s="2">
        <v>2</v>
      </c>
      <c r="G246" s="15">
        <v>992.49</v>
      </c>
      <c r="H246" s="15">
        <v>1984.98</v>
      </c>
      <c r="I246" s="2">
        <v>20</v>
      </c>
      <c r="J246" s="15">
        <v>1587.98</v>
      </c>
    </row>
    <row r="247" spans="1:10" x14ac:dyDescent="0.3">
      <c r="A247" s="2" t="s">
        <v>278</v>
      </c>
      <c r="B247" s="3">
        <v>45857</v>
      </c>
      <c r="C247" s="2" t="s">
        <v>22</v>
      </c>
      <c r="D247" s="2" t="s">
        <v>29</v>
      </c>
      <c r="E247" s="2" t="s">
        <v>24</v>
      </c>
      <c r="F247" s="2">
        <v>9</v>
      </c>
      <c r="G247" s="15">
        <v>158.16999999999999</v>
      </c>
      <c r="H247" s="15">
        <v>1423.53</v>
      </c>
      <c r="I247" s="2">
        <v>15</v>
      </c>
      <c r="J247" s="15">
        <v>1210</v>
      </c>
    </row>
    <row r="248" spans="1:10" x14ac:dyDescent="0.3">
      <c r="A248" s="2" t="s">
        <v>279</v>
      </c>
      <c r="B248" s="3">
        <v>46080</v>
      </c>
      <c r="C248" s="2" t="s">
        <v>15</v>
      </c>
      <c r="D248" s="2" t="s">
        <v>26</v>
      </c>
      <c r="E248" s="2" t="s">
        <v>33</v>
      </c>
      <c r="F248" s="2">
        <v>15</v>
      </c>
      <c r="G248" s="15">
        <v>118.16</v>
      </c>
      <c r="H248" s="15">
        <v>1772.4</v>
      </c>
      <c r="I248" s="2">
        <v>10</v>
      </c>
      <c r="J248" s="15">
        <v>1595.16</v>
      </c>
    </row>
    <row r="249" spans="1:10" x14ac:dyDescent="0.3">
      <c r="A249" s="2" t="s">
        <v>280</v>
      </c>
      <c r="B249" s="3">
        <v>46009</v>
      </c>
      <c r="C249" s="2" t="s">
        <v>11</v>
      </c>
      <c r="D249" s="2" t="s">
        <v>26</v>
      </c>
      <c r="E249" s="2" t="s">
        <v>30</v>
      </c>
      <c r="F249" s="2">
        <v>15</v>
      </c>
      <c r="G249" s="15">
        <v>995.7</v>
      </c>
      <c r="H249" s="15">
        <v>14935.5</v>
      </c>
      <c r="I249" s="2">
        <v>15</v>
      </c>
      <c r="J249" s="15">
        <v>12695.17</v>
      </c>
    </row>
    <row r="250" spans="1:10" x14ac:dyDescent="0.3">
      <c r="A250" s="2" t="s">
        <v>281</v>
      </c>
      <c r="B250" s="3">
        <v>45893</v>
      </c>
      <c r="C250" s="2" t="s">
        <v>15</v>
      </c>
      <c r="D250" s="2" t="s">
        <v>60</v>
      </c>
      <c r="E250" s="2" t="s">
        <v>24</v>
      </c>
      <c r="F250" s="2">
        <v>12</v>
      </c>
      <c r="G250" s="15">
        <v>172.6</v>
      </c>
      <c r="H250" s="15">
        <v>2071.1999999999998</v>
      </c>
      <c r="I250" s="2">
        <v>15</v>
      </c>
      <c r="J250" s="15">
        <v>1760.52</v>
      </c>
    </row>
    <row r="251" spans="1:10" x14ac:dyDescent="0.3">
      <c r="A251" s="2" t="s">
        <v>282</v>
      </c>
      <c r="B251" s="3">
        <v>45892</v>
      </c>
      <c r="C251" s="2" t="s">
        <v>22</v>
      </c>
      <c r="D251" s="2" t="s">
        <v>12</v>
      </c>
      <c r="E251" s="2" t="s">
        <v>37</v>
      </c>
      <c r="F251" s="2">
        <v>13</v>
      </c>
      <c r="G251" s="15">
        <v>91.95</v>
      </c>
      <c r="H251" s="15">
        <v>1195.3499999999999</v>
      </c>
      <c r="I251" s="2">
        <v>20</v>
      </c>
      <c r="J251" s="15">
        <v>956.28</v>
      </c>
    </row>
    <row r="252" spans="1:10" x14ac:dyDescent="0.3">
      <c r="A252" s="2" t="s">
        <v>283</v>
      </c>
      <c r="B252" s="3">
        <v>46075</v>
      </c>
      <c r="C252" s="2" t="s">
        <v>15</v>
      </c>
      <c r="D252" s="2" t="s">
        <v>26</v>
      </c>
      <c r="E252" s="2" t="s">
        <v>13</v>
      </c>
      <c r="F252" s="2">
        <v>17</v>
      </c>
      <c r="G252" s="15">
        <v>190.59</v>
      </c>
      <c r="H252" s="15">
        <v>3240.03</v>
      </c>
      <c r="I252" s="2">
        <v>5</v>
      </c>
      <c r="J252" s="15">
        <v>3078.03</v>
      </c>
    </row>
    <row r="253" spans="1:10" x14ac:dyDescent="0.3">
      <c r="A253" s="2" t="s">
        <v>284</v>
      </c>
      <c r="B253" s="3">
        <v>45806</v>
      </c>
      <c r="C253" s="2" t="s">
        <v>15</v>
      </c>
      <c r="D253" s="2" t="s">
        <v>16</v>
      </c>
      <c r="E253" s="2" t="s">
        <v>39</v>
      </c>
      <c r="F253" s="2">
        <v>18</v>
      </c>
      <c r="G253" s="15">
        <v>162.05000000000001</v>
      </c>
      <c r="H253" s="15">
        <v>2916.9</v>
      </c>
      <c r="I253" s="2">
        <v>20</v>
      </c>
      <c r="J253" s="15">
        <v>2333.52</v>
      </c>
    </row>
    <row r="254" spans="1:10" x14ac:dyDescent="0.3">
      <c r="A254" s="2" t="s">
        <v>285</v>
      </c>
      <c r="B254" s="3">
        <v>46015</v>
      </c>
      <c r="C254" s="2" t="s">
        <v>15</v>
      </c>
      <c r="D254" s="2" t="s">
        <v>32</v>
      </c>
      <c r="E254" s="2" t="s">
        <v>76</v>
      </c>
      <c r="F254" s="2">
        <v>13</v>
      </c>
      <c r="G254" s="15">
        <v>382.53</v>
      </c>
      <c r="H254" s="15">
        <v>4972.8900000000003</v>
      </c>
      <c r="I254" s="2">
        <v>15</v>
      </c>
      <c r="J254" s="15">
        <v>4226.96</v>
      </c>
    </row>
    <row r="255" spans="1:10" x14ac:dyDescent="0.3">
      <c r="A255" s="2" t="s">
        <v>286</v>
      </c>
      <c r="B255" s="3">
        <v>46158</v>
      </c>
      <c r="C255" s="2" t="s">
        <v>22</v>
      </c>
      <c r="D255" s="2" t="s">
        <v>26</v>
      </c>
      <c r="E255" s="2" t="s">
        <v>13</v>
      </c>
      <c r="F255" s="2">
        <v>20</v>
      </c>
      <c r="G255" s="15">
        <v>691.8</v>
      </c>
      <c r="H255" s="15">
        <v>13836</v>
      </c>
      <c r="I255" s="2">
        <v>15</v>
      </c>
      <c r="J255" s="15">
        <v>11760.6</v>
      </c>
    </row>
    <row r="256" spans="1:10" x14ac:dyDescent="0.3">
      <c r="A256" s="2" t="s">
        <v>287</v>
      </c>
      <c r="B256" s="3">
        <v>46025</v>
      </c>
      <c r="C256" s="2" t="s">
        <v>11</v>
      </c>
      <c r="D256" s="2" t="s">
        <v>12</v>
      </c>
      <c r="E256" s="2" t="s">
        <v>20</v>
      </c>
      <c r="F256" s="2">
        <v>1</v>
      </c>
      <c r="G256" s="15">
        <v>56.62</v>
      </c>
      <c r="H256" s="15">
        <v>56.62</v>
      </c>
      <c r="I256" s="2">
        <v>15</v>
      </c>
      <c r="J256" s="15">
        <v>48.13</v>
      </c>
    </row>
    <row r="257" spans="1:10" x14ac:dyDescent="0.3">
      <c r="A257" s="2" t="s">
        <v>288</v>
      </c>
      <c r="B257" s="3">
        <v>45891</v>
      </c>
      <c r="C257" s="2" t="s">
        <v>18</v>
      </c>
      <c r="D257" s="2" t="s">
        <v>32</v>
      </c>
      <c r="E257" s="2" t="s">
        <v>33</v>
      </c>
      <c r="F257" s="2">
        <v>13</v>
      </c>
      <c r="G257" s="15">
        <v>326.8</v>
      </c>
      <c r="H257" s="15">
        <v>4248.3999999999996</v>
      </c>
      <c r="I257" s="2">
        <v>10</v>
      </c>
      <c r="J257" s="15">
        <v>3823.56</v>
      </c>
    </row>
    <row r="258" spans="1:10" x14ac:dyDescent="0.3">
      <c r="A258" s="2" t="s">
        <v>289</v>
      </c>
      <c r="B258" s="3">
        <v>45963</v>
      </c>
      <c r="C258" s="2" t="s">
        <v>22</v>
      </c>
      <c r="D258" s="2" t="s">
        <v>32</v>
      </c>
      <c r="E258" s="2" t="s">
        <v>76</v>
      </c>
      <c r="F258" s="2">
        <v>14</v>
      </c>
      <c r="G258" s="15">
        <v>423.88</v>
      </c>
      <c r="H258" s="15">
        <v>5934.32</v>
      </c>
      <c r="I258" s="2">
        <v>5</v>
      </c>
      <c r="J258" s="15">
        <v>5637.6</v>
      </c>
    </row>
    <row r="259" spans="1:10" x14ac:dyDescent="0.3">
      <c r="A259" s="2" t="s">
        <v>290</v>
      </c>
      <c r="B259" s="3">
        <v>45840</v>
      </c>
      <c r="C259" s="2" t="s">
        <v>18</v>
      </c>
      <c r="D259" s="2" t="s">
        <v>16</v>
      </c>
      <c r="E259" s="2" t="s">
        <v>24</v>
      </c>
      <c r="F259" s="2">
        <v>1</v>
      </c>
      <c r="G259" s="15">
        <v>298.20999999999998</v>
      </c>
      <c r="H259" s="15">
        <v>298.20999999999998</v>
      </c>
      <c r="I259" s="2">
        <v>5</v>
      </c>
      <c r="J259" s="15">
        <v>283.3</v>
      </c>
    </row>
    <row r="260" spans="1:10" x14ac:dyDescent="0.3">
      <c r="A260" s="2" t="s">
        <v>291</v>
      </c>
      <c r="B260" s="3">
        <v>45860</v>
      </c>
      <c r="C260" s="2" t="s">
        <v>22</v>
      </c>
      <c r="D260" s="2" t="s">
        <v>16</v>
      </c>
      <c r="E260" s="2" t="s">
        <v>37</v>
      </c>
      <c r="F260" s="2">
        <v>2</v>
      </c>
      <c r="G260" s="15">
        <v>349.77</v>
      </c>
      <c r="H260" s="15">
        <v>699.54</v>
      </c>
      <c r="I260" s="2">
        <v>0</v>
      </c>
      <c r="J260" s="15">
        <v>699.54</v>
      </c>
    </row>
    <row r="261" spans="1:10" x14ac:dyDescent="0.3">
      <c r="A261" s="2" t="s">
        <v>292</v>
      </c>
      <c r="B261" s="3">
        <v>45932</v>
      </c>
      <c r="C261" s="2" t="s">
        <v>22</v>
      </c>
      <c r="D261" s="2" t="s">
        <v>12</v>
      </c>
      <c r="E261" s="2" t="s">
        <v>37</v>
      </c>
      <c r="F261" s="2">
        <v>7</v>
      </c>
      <c r="G261" s="15">
        <v>953.31</v>
      </c>
      <c r="H261" s="15">
        <v>6673.17</v>
      </c>
      <c r="I261" s="2">
        <v>10</v>
      </c>
      <c r="J261" s="15">
        <v>6005.85</v>
      </c>
    </row>
    <row r="262" spans="1:10" x14ac:dyDescent="0.3">
      <c r="A262" s="2" t="s">
        <v>293</v>
      </c>
      <c r="B262" s="3">
        <v>46078</v>
      </c>
      <c r="C262" s="2" t="s">
        <v>11</v>
      </c>
      <c r="D262" s="2" t="s">
        <v>26</v>
      </c>
      <c r="E262" s="2" t="s">
        <v>33</v>
      </c>
      <c r="F262" s="2">
        <v>9</v>
      </c>
      <c r="G262" s="15">
        <v>605.63</v>
      </c>
      <c r="H262" s="15">
        <v>5450.67</v>
      </c>
      <c r="I262" s="2">
        <v>5</v>
      </c>
      <c r="J262" s="15">
        <v>5178.1400000000003</v>
      </c>
    </row>
    <row r="263" spans="1:10" x14ac:dyDescent="0.3">
      <c r="A263" s="2" t="s">
        <v>294</v>
      </c>
      <c r="B263" s="3">
        <v>46029</v>
      </c>
      <c r="C263" s="2" t="s">
        <v>11</v>
      </c>
      <c r="D263" s="2" t="s">
        <v>16</v>
      </c>
      <c r="E263" s="2" t="s">
        <v>24</v>
      </c>
      <c r="F263" s="2">
        <v>14</v>
      </c>
      <c r="G263" s="15">
        <v>998.65</v>
      </c>
      <c r="H263" s="15">
        <v>13981.1</v>
      </c>
      <c r="I263" s="2">
        <v>5</v>
      </c>
      <c r="J263" s="15">
        <v>13282.05</v>
      </c>
    </row>
    <row r="264" spans="1:10" x14ac:dyDescent="0.3">
      <c r="A264" s="2" t="s">
        <v>295</v>
      </c>
      <c r="B264" s="3">
        <v>46024</v>
      </c>
      <c r="C264" s="2" t="s">
        <v>15</v>
      </c>
      <c r="D264" s="2" t="s">
        <v>16</v>
      </c>
      <c r="E264" s="2" t="s">
        <v>13</v>
      </c>
      <c r="F264" s="2">
        <v>15</v>
      </c>
      <c r="G264" s="15">
        <v>257.8</v>
      </c>
      <c r="H264" s="15">
        <v>3867</v>
      </c>
      <c r="I264" s="2">
        <v>5</v>
      </c>
      <c r="J264" s="15">
        <v>3673.65</v>
      </c>
    </row>
    <row r="265" spans="1:10" x14ac:dyDescent="0.3">
      <c r="A265" s="2" t="s">
        <v>296</v>
      </c>
      <c r="B265" s="3">
        <v>46043</v>
      </c>
      <c r="C265" s="2" t="s">
        <v>15</v>
      </c>
      <c r="D265" s="2" t="s">
        <v>16</v>
      </c>
      <c r="E265" s="2" t="s">
        <v>24</v>
      </c>
      <c r="F265" s="2">
        <v>3</v>
      </c>
      <c r="G265" s="15">
        <v>146.72</v>
      </c>
      <c r="H265" s="15">
        <v>440.16</v>
      </c>
      <c r="I265" s="2">
        <v>5</v>
      </c>
      <c r="J265" s="15">
        <v>418.15</v>
      </c>
    </row>
    <row r="266" spans="1:10" x14ac:dyDescent="0.3">
      <c r="A266" s="2" t="s">
        <v>297</v>
      </c>
      <c r="B266" s="3">
        <v>46129</v>
      </c>
      <c r="C266" s="2" t="s">
        <v>18</v>
      </c>
      <c r="D266" s="2" t="s">
        <v>29</v>
      </c>
      <c r="E266" s="2" t="s">
        <v>76</v>
      </c>
      <c r="F266" s="2">
        <v>3</v>
      </c>
      <c r="G266" s="15">
        <v>976.32</v>
      </c>
      <c r="H266" s="15">
        <v>2928.96</v>
      </c>
      <c r="I266" s="2">
        <v>0</v>
      </c>
      <c r="J266" s="15">
        <v>2928.96</v>
      </c>
    </row>
    <row r="267" spans="1:10" x14ac:dyDescent="0.3">
      <c r="A267" s="2" t="s">
        <v>298</v>
      </c>
      <c r="B267" s="3">
        <v>45992</v>
      </c>
      <c r="C267" s="2" t="s">
        <v>18</v>
      </c>
      <c r="D267" s="2" t="s">
        <v>23</v>
      </c>
      <c r="E267" s="2" t="s">
        <v>39</v>
      </c>
      <c r="F267" s="2">
        <v>5</v>
      </c>
      <c r="G267" s="15">
        <v>381.35</v>
      </c>
      <c r="H267" s="15">
        <v>1906.75</v>
      </c>
      <c r="I267" s="2">
        <v>15</v>
      </c>
      <c r="J267" s="15">
        <v>1620.74</v>
      </c>
    </row>
    <row r="268" spans="1:10" x14ac:dyDescent="0.3">
      <c r="A268" s="2" t="s">
        <v>299</v>
      </c>
      <c r="B268" s="3">
        <v>45960</v>
      </c>
      <c r="C268" s="2" t="s">
        <v>18</v>
      </c>
      <c r="D268" s="2" t="s">
        <v>23</v>
      </c>
      <c r="E268" s="2" t="s">
        <v>87</v>
      </c>
      <c r="F268" s="2">
        <v>12</v>
      </c>
      <c r="G268" s="15">
        <v>261.10000000000002</v>
      </c>
      <c r="H268" s="15">
        <v>3133.2</v>
      </c>
      <c r="I268" s="2">
        <v>15</v>
      </c>
      <c r="J268" s="15">
        <v>2663.22</v>
      </c>
    </row>
    <row r="269" spans="1:10" x14ac:dyDescent="0.3">
      <c r="A269" s="2" t="s">
        <v>300</v>
      </c>
      <c r="B269" s="3">
        <v>45921</v>
      </c>
      <c r="C269" s="2" t="s">
        <v>11</v>
      </c>
      <c r="D269" s="2" t="s">
        <v>29</v>
      </c>
      <c r="E269" s="2" t="s">
        <v>87</v>
      </c>
      <c r="F269" s="2">
        <v>14</v>
      </c>
      <c r="G269" s="15">
        <v>154.58000000000001</v>
      </c>
      <c r="H269" s="15">
        <v>2164.12</v>
      </c>
      <c r="I269" s="2">
        <v>15</v>
      </c>
      <c r="J269" s="15">
        <v>1839.5</v>
      </c>
    </row>
    <row r="270" spans="1:10" x14ac:dyDescent="0.3">
      <c r="A270" s="2" t="s">
        <v>301</v>
      </c>
      <c r="B270" s="3">
        <v>46123</v>
      </c>
      <c r="C270" s="2" t="s">
        <v>11</v>
      </c>
      <c r="D270" s="2" t="s">
        <v>32</v>
      </c>
      <c r="E270" s="2" t="s">
        <v>27</v>
      </c>
      <c r="F270" s="2">
        <v>6</v>
      </c>
      <c r="G270" s="15">
        <v>559.9</v>
      </c>
      <c r="H270" s="15">
        <v>3359.4</v>
      </c>
      <c r="I270" s="2">
        <v>20</v>
      </c>
      <c r="J270" s="15">
        <v>2687.52</v>
      </c>
    </row>
    <row r="271" spans="1:10" x14ac:dyDescent="0.3">
      <c r="A271" s="2" t="s">
        <v>302</v>
      </c>
      <c r="B271" s="3">
        <v>45883</v>
      </c>
      <c r="C271" s="2" t="s">
        <v>22</v>
      </c>
      <c r="D271" s="2" t="s">
        <v>60</v>
      </c>
      <c r="E271" s="2" t="s">
        <v>13</v>
      </c>
      <c r="F271" s="2">
        <v>9</v>
      </c>
      <c r="G271" s="15">
        <v>990.87</v>
      </c>
      <c r="H271" s="15">
        <v>8917.83</v>
      </c>
      <c r="I271" s="2">
        <v>15</v>
      </c>
      <c r="J271" s="15">
        <v>7580.16</v>
      </c>
    </row>
    <row r="272" spans="1:10" x14ac:dyDescent="0.3">
      <c r="A272" s="2" t="s">
        <v>303</v>
      </c>
      <c r="B272" s="3">
        <v>45902</v>
      </c>
      <c r="C272" s="2" t="s">
        <v>18</v>
      </c>
      <c r="D272" s="2" t="s">
        <v>12</v>
      </c>
      <c r="E272" s="2" t="s">
        <v>33</v>
      </c>
      <c r="F272" s="2">
        <v>5</v>
      </c>
      <c r="G272" s="15">
        <v>552.96</v>
      </c>
      <c r="H272" s="15">
        <v>2764.8</v>
      </c>
      <c r="I272" s="2">
        <v>10</v>
      </c>
      <c r="J272" s="15">
        <v>2488.3200000000002</v>
      </c>
    </row>
    <row r="273" spans="1:10" x14ac:dyDescent="0.3">
      <c r="A273" s="2" t="s">
        <v>304</v>
      </c>
      <c r="B273" s="3">
        <v>46127</v>
      </c>
      <c r="C273" s="2" t="s">
        <v>11</v>
      </c>
      <c r="D273" s="2" t="s">
        <v>52</v>
      </c>
      <c r="E273" s="2" t="s">
        <v>24</v>
      </c>
      <c r="F273" s="2">
        <v>7</v>
      </c>
      <c r="G273" s="15">
        <v>591.91</v>
      </c>
      <c r="H273" s="15">
        <v>4143.37</v>
      </c>
      <c r="I273" s="2">
        <v>20</v>
      </c>
      <c r="J273" s="15">
        <v>3314.7</v>
      </c>
    </row>
    <row r="274" spans="1:10" x14ac:dyDescent="0.3">
      <c r="A274" s="2" t="s">
        <v>305</v>
      </c>
      <c r="B274" s="3">
        <v>45823</v>
      </c>
      <c r="C274" s="2" t="s">
        <v>18</v>
      </c>
      <c r="D274" s="2" t="s">
        <v>29</v>
      </c>
      <c r="E274" s="2" t="s">
        <v>33</v>
      </c>
      <c r="F274" s="2">
        <v>7</v>
      </c>
      <c r="G274" s="15">
        <v>657.46</v>
      </c>
      <c r="H274" s="15">
        <v>4602.22</v>
      </c>
      <c r="I274" s="2">
        <v>15</v>
      </c>
      <c r="J274" s="15">
        <v>3911.89</v>
      </c>
    </row>
    <row r="275" spans="1:10" x14ac:dyDescent="0.3">
      <c r="A275" s="2" t="s">
        <v>306</v>
      </c>
      <c r="B275" s="3">
        <v>45888</v>
      </c>
      <c r="C275" s="2" t="s">
        <v>22</v>
      </c>
      <c r="D275" s="2" t="s">
        <v>29</v>
      </c>
      <c r="E275" s="2" t="s">
        <v>20</v>
      </c>
      <c r="F275" s="2">
        <v>18</v>
      </c>
      <c r="G275" s="15">
        <v>557.27</v>
      </c>
      <c r="H275" s="15">
        <v>10030.86</v>
      </c>
      <c r="I275" s="2">
        <v>10</v>
      </c>
      <c r="J275" s="15">
        <v>9027.77</v>
      </c>
    </row>
    <row r="276" spans="1:10" x14ac:dyDescent="0.3">
      <c r="A276" s="2" t="s">
        <v>307</v>
      </c>
      <c r="B276" s="3">
        <v>45978</v>
      </c>
      <c r="C276" s="2" t="s">
        <v>18</v>
      </c>
      <c r="D276" s="2" t="s">
        <v>44</v>
      </c>
      <c r="E276" s="2" t="s">
        <v>33</v>
      </c>
      <c r="F276" s="2">
        <v>12</v>
      </c>
      <c r="G276" s="15">
        <v>997.02</v>
      </c>
      <c r="H276" s="15">
        <v>11964.24</v>
      </c>
      <c r="I276" s="2">
        <v>10</v>
      </c>
      <c r="J276" s="15">
        <v>10767.82</v>
      </c>
    </row>
    <row r="277" spans="1:10" x14ac:dyDescent="0.3">
      <c r="A277" s="2" t="s">
        <v>308</v>
      </c>
      <c r="B277" s="3">
        <v>45890</v>
      </c>
      <c r="C277" s="2" t="s">
        <v>22</v>
      </c>
      <c r="D277" s="2" t="s">
        <v>29</v>
      </c>
      <c r="E277" s="2" t="s">
        <v>87</v>
      </c>
      <c r="F277" s="2">
        <v>2</v>
      </c>
      <c r="G277" s="15">
        <v>446.95</v>
      </c>
      <c r="H277" s="15">
        <v>893.9</v>
      </c>
      <c r="I277" s="2">
        <v>0</v>
      </c>
      <c r="J277" s="15">
        <v>893.9</v>
      </c>
    </row>
    <row r="278" spans="1:10" x14ac:dyDescent="0.3">
      <c r="A278" s="2" t="s">
        <v>309</v>
      </c>
      <c r="B278" s="3">
        <v>45957</v>
      </c>
      <c r="C278" s="2" t="s">
        <v>22</v>
      </c>
      <c r="D278" s="2" t="s">
        <v>60</v>
      </c>
      <c r="E278" s="2" t="s">
        <v>33</v>
      </c>
      <c r="F278" s="2">
        <v>2</v>
      </c>
      <c r="G278" s="15">
        <v>480.54</v>
      </c>
      <c r="H278" s="15">
        <v>961.08</v>
      </c>
      <c r="I278" s="2">
        <v>5</v>
      </c>
      <c r="J278" s="15">
        <v>913.03</v>
      </c>
    </row>
    <row r="279" spans="1:10" x14ac:dyDescent="0.3">
      <c r="A279" s="2" t="s">
        <v>310</v>
      </c>
      <c r="B279" s="3">
        <v>46034</v>
      </c>
      <c r="C279" s="2" t="s">
        <v>11</v>
      </c>
      <c r="D279" s="2" t="s">
        <v>44</v>
      </c>
      <c r="E279" s="2" t="s">
        <v>24</v>
      </c>
      <c r="F279" s="2">
        <v>14</v>
      </c>
      <c r="G279" s="15">
        <v>617.45000000000005</v>
      </c>
      <c r="H279" s="15">
        <v>8644.2999999999993</v>
      </c>
      <c r="I279" s="2">
        <v>10</v>
      </c>
      <c r="J279" s="15">
        <v>7779.87</v>
      </c>
    </row>
    <row r="280" spans="1:10" x14ac:dyDescent="0.3">
      <c r="A280" s="2" t="s">
        <v>311</v>
      </c>
      <c r="B280" s="3">
        <v>45917</v>
      </c>
      <c r="C280" s="2" t="s">
        <v>15</v>
      </c>
      <c r="D280" s="2" t="s">
        <v>29</v>
      </c>
      <c r="E280" s="2" t="s">
        <v>20</v>
      </c>
      <c r="F280" s="2">
        <v>6</v>
      </c>
      <c r="G280" s="15">
        <v>488.57</v>
      </c>
      <c r="H280" s="15">
        <v>2931.42</v>
      </c>
      <c r="I280" s="2">
        <v>10</v>
      </c>
      <c r="J280" s="15">
        <v>2638.28</v>
      </c>
    </row>
    <row r="281" spans="1:10" x14ac:dyDescent="0.3">
      <c r="A281" s="2" t="s">
        <v>312</v>
      </c>
      <c r="B281" s="3">
        <v>46035</v>
      </c>
      <c r="C281" s="2" t="s">
        <v>18</v>
      </c>
      <c r="D281" s="2" t="s">
        <v>19</v>
      </c>
      <c r="E281" s="2" t="s">
        <v>33</v>
      </c>
      <c r="F281" s="2">
        <v>4</v>
      </c>
      <c r="G281" s="15">
        <v>140.88999999999999</v>
      </c>
      <c r="H281" s="15">
        <v>563.55999999999995</v>
      </c>
      <c r="I281" s="2">
        <v>10</v>
      </c>
      <c r="J281" s="15">
        <v>507.2</v>
      </c>
    </row>
    <row r="282" spans="1:10" x14ac:dyDescent="0.3">
      <c r="A282" s="2" t="s">
        <v>313</v>
      </c>
      <c r="B282" s="3">
        <v>45897</v>
      </c>
      <c r="C282" s="2" t="s">
        <v>11</v>
      </c>
      <c r="D282" s="2" t="s">
        <v>32</v>
      </c>
      <c r="E282" s="2" t="s">
        <v>30</v>
      </c>
      <c r="F282" s="2">
        <v>5</v>
      </c>
      <c r="G282" s="15">
        <v>240.06</v>
      </c>
      <c r="H282" s="15">
        <v>1200.3</v>
      </c>
      <c r="I282" s="2">
        <v>15</v>
      </c>
      <c r="J282" s="15">
        <v>1020.25</v>
      </c>
    </row>
    <row r="283" spans="1:10" x14ac:dyDescent="0.3">
      <c r="A283" s="2" t="s">
        <v>314</v>
      </c>
      <c r="B283" s="3">
        <v>45950</v>
      </c>
      <c r="C283" s="2" t="s">
        <v>18</v>
      </c>
      <c r="D283" s="2" t="s">
        <v>60</v>
      </c>
      <c r="E283" s="2" t="s">
        <v>13</v>
      </c>
      <c r="F283" s="2">
        <v>6</v>
      </c>
      <c r="G283" s="15">
        <v>290.38</v>
      </c>
      <c r="H283" s="15">
        <v>1742.28</v>
      </c>
      <c r="I283" s="2">
        <v>10</v>
      </c>
      <c r="J283" s="15">
        <v>1568.05</v>
      </c>
    </row>
    <row r="284" spans="1:10" x14ac:dyDescent="0.3">
      <c r="A284" s="2" t="s">
        <v>315</v>
      </c>
      <c r="B284" s="3">
        <v>45915</v>
      </c>
      <c r="C284" s="2" t="s">
        <v>11</v>
      </c>
      <c r="D284" s="2" t="s">
        <v>60</v>
      </c>
      <c r="E284" s="2" t="s">
        <v>20</v>
      </c>
      <c r="F284" s="2">
        <v>11</v>
      </c>
      <c r="G284" s="15">
        <v>977.21</v>
      </c>
      <c r="H284" s="15">
        <v>10749.31</v>
      </c>
      <c r="I284" s="2">
        <v>20</v>
      </c>
      <c r="J284" s="15">
        <v>8599.4500000000007</v>
      </c>
    </row>
    <row r="285" spans="1:10" x14ac:dyDescent="0.3">
      <c r="A285" s="2" t="s">
        <v>316</v>
      </c>
      <c r="B285" s="3">
        <v>46025</v>
      </c>
      <c r="C285" s="2" t="s">
        <v>22</v>
      </c>
      <c r="D285" s="2" t="s">
        <v>32</v>
      </c>
      <c r="E285" s="2" t="s">
        <v>13</v>
      </c>
      <c r="F285" s="2">
        <v>19</v>
      </c>
      <c r="G285" s="15">
        <v>722.48</v>
      </c>
      <c r="H285" s="15">
        <v>13727.12</v>
      </c>
      <c r="I285" s="2">
        <v>20</v>
      </c>
      <c r="J285" s="15">
        <v>10981.7</v>
      </c>
    </row>
    <row r="286" spans="1:10" x14ac:dyDescent="0.3">
      <c r="A286" s="2" t="s">
        <v>317</v>
      </c>
      <c r="B286" s="3">
        <v>45987</v>
      </c>
      <c r="C286" s="2" t="s">
        <v>15</v>
      </c>
      <c r="D286" s="2" t="s">
        <v>26</v>
      </c>
      <c r="E286" s="2" t="s">
        <v>33</v>
      </c>
      <c r="F286" s="2">
        <v>16</v>
      </c>
      <c r="G286" s="15">
        <v>813.2</v>
      </c>
      <c r="H286" s="15">
        <v>13011.2</v>
      </c>
      <c r="I286" s="2">
        <v>5</v>
      </c>
      <c r="J286" s="15">
        <v>12360.64</v>
      </c>
    </row>
    <row r="287" spans="1:10" x14ac:dyDescent="0.3">
      <c r="A287" s="2" t="s">
        <v>318</v>
      </c>
      <c r="B287" s="3">
        <v>45980</v>
      </c>
      <c r="C287" s="2" t="s">
        <v>11</v>
      </c>
      <c r="D287" s="2" t="s">
        <v>26</v>
      </c>
      <c r="E287" s="2" t="s">
        <v>20</v>
      </c>
      <c r="F287" s="2">
        <v>17</v>
      </c>
      <c r="G287" s="15">
        <v>827.28</v>
      </c>
      <c r="H287" s="15">
        <v>14063.76</v>
      </c>
      <c r="I287" s="2">
        <v>20</v>
      </c>
      <c r="J287" s="15">
        <v>11251.01</v>
      </c>
    </row>
    <row r="288" spans="1:10" x14ac:dyDescent="0.3">
      <c r="A288" s="2" t="s">
        <v>319</v>
      </c>
      <c r="B288" s="3">
        <v>46115</v>
      </c>
      <c r="C288" s="2" t="s">
        <v>22</v>
      </c>
      <c r="D288" s="2" t="s">
        <v>44</v>
      </c>
      <c r="E288" s="2" t="s">
        <v>76</v>
      </c>
      <c r="F288" s="2">
        <v>12</v>
      </c>
      <c r="G288" s="15">
        <v>392.12</v>
      </c>
      <c r="H288" s="15">
        <v>4705.4399999999996</v>
      </c>
      <c r="I288" s="2">
        <v>0</v>
      </c>
      <c r="J288" s="15">
        <v>4705.4399999999996</v>
      </c>
    </row>
    <row r="289" spans="1:10" x14ac:dyDescent="0.3">
      <c r="A289" s="2" t="s">
        <v>320</v>
      </c>
      <c r="B289" s="3">
        <v>45924</v>
      </c>
      <c r="C289" s="2" t="s">
        <v>15</v>
      </c>
      <c r="D289" s="2" t="s">
        <v>29</v>
      </c>
      <c r="E289" s="2" t="s">
        <v>76</v>
      </c>
      <c r="F289" s="2">
        <v>12</v>
      </c>
      <c r="G289" s="15">
        <v>754.86</v>
      </c>
      <c r="H289" s="15">
        <v>9058.32</v>
      </c>
      <c r="I289" s="2">
        <v>15</v>
      </c>
      <c r="J289" s="15">
        <v>7699.57</v>
      </c>
    </row>
    <row r="290" spans="1:10" x14ac:dyDescent="0.3">
      <c r="A290" s="2" t="s">
        <v>321</v>
      </c>
      <c r="B290" s="3">
        <v>45838</v>
      </c>
      <c r="C290" s="2" t="s">
        <v>11</v>
      </c>
      <c r="D290" s="2" t="s">
        <v>29</v>
      </c>
      <c r="E290" s="2" t="s">
        <v>37</v>
      </c>
      <c r="F290" s="2">
        <v>10</v>
      </c>
      <c r="G290" s="15">
        <v>990.3</v>
      </c>
      <c r="H290" s="15">
        <v>9903</v>
      </c>
      <c r="I290" s="2">
        <v>5</v>
      </c>
      <c r="J290" s="15">
        <v>9407.85</v>
      </c>
    </row>
    <row r="291" spans="1:10" x14ac:dyDescent="0.3">
      <c r="A291" s="2" t="s">
        <v>322</v>
      </c>
      <c r="B291" s="3">
        <v>45893</v>
      </c>
      <c r="C291" s="2" t="s">
        <v>15</v>
      </c>
      <c r="D291" s="2" t="s">
        <v>60</v>
      </c>
      <c r="E291" s="2" t="s">
        <v>87</v>
      </c>
      <c r="F291" s="2">
        <v>14</v>
      </c>
      <c r="G291" s="15">
        <v>364.9</v>
      </c>
      <c r="H291" s="15">
        <v>5108.6000000000004</v>
      </c>
      <c r="I291" s="2">
        <v>0</v>
      </c>
      <c r="J291" s="15">
        <v>5108.6000000000004</v>
      </c>
    </row>
    <row r="292" spans="1:10" x14ac:dyDescent="0.3">
      <c r="A292" s="2" t="s">
        <v>323</v>
      </c>
      <c r="B292" s="3">
        <v>46020</v>
      </c>
      <c r="C292" s="2" t="s">
        <v>11</v>
      </c>
      <c r="D292" s="2" t="s">
        <v>32</v>
      </c>
      <c r="E292" s="2" t="s">
        <v>27</v>
      </c>
      <c r="F292" s="2">
        <v>18</v>
      </c>
      <c r="G292" s="15">
        <v>429.73</v>
      </c>
      <c r="H292" s="15">
        <v>7735.14</v>
      </c>
      <c r="I292" s="2">
        <v>0</v>
      </c>
      <c r="J292" s="15">
        <v>7735.14</v>
      </c>
    </row>
    <row r="293" spans="1:10" x14ac:dyDescent="0.3">
      <c r="A293" s="2" t="s">
        <v>324</v>
      </c>
      <c r="B293" s="3">
        <v>45931</v>
      </c>
      <c r="C293" s="2" t="s">
        <v>15</v>
      </c>
      <c r="D293" s="2" t="s">
        <v>19</v>
      </c>
      <c r="E293" s="2" t="s">
        <v>20</v>
      </c>
      <c r="F293" s="2">
        <v>13</v>
      </c>
      <c r="G293" s="15">
        <v>919.43</v>
      </c>
      <c r="H293" s="15">
        <v>11952.59</v>
      </c>
      <c r="I293" s="2">
        <v>20</v>
      </c>
      <c r="J293" s="15">
        <v>9562.07</v>
      </c>
    </row>
    <row r="294" spans="1:10" x14ac:dyDescent="0.3">
      <c r="A294" s="2" t="s">
        <v>325</v>
      </c>
      <c r="B294" s="3">
        <v>46052</v>
      </c>
      <c r="C294" s="2" t="s">
        <v>18</v>
      </c>
      <c r="D294" s="2" t="s">
        <v>60</v>
      </c>
      <c r="E294" s="2" t="s">
        <v>87</v>
      </c>
      <c r="F294" s="2">
        <v>14</v>
      </c>
      <c r="G294" s="15">
        <v>986.94</v>
      </c>
      <c r="H294" s="15">
        <v>13817.16</v>
      </c>
      <c r="I294" s="2">
        <v>15</v>
      </c>
      <c r="J294" s="15">
        <v>11744.59</v>
      </c>
    </row>
    <row r="295" spans="1:10" x14ac:dyDescent="0.3">
      <c r="A295" s="2" t="s">
        <v>326</v>
      </c>
      <c r="B295" s="3">
        <v>45877</v>
      </c>
      <c r="C295" s="2" t="s">
        <v>11</v>
      </c>
      <c r="D295" s="2" t="s">
        <v>12</v>
      </c>
      <c r="E295" s="2" t="s">
        <v>37</v>
      </c>
      <c r="F295" s="2">
        <v>3</v>
      </c>
      <c r="G295" s="15">
        <v>83.87</v>
      </c>
      <c r="H295" s="15">
        <v>251.61</v>
      </c>
      <c r="I295" s="2">
        <v>15</v>
      </c>
      <c r="J295" s="15">
        <v>213.87</v>
      </c>
    </row>
    <row r="296" spans="1:10" x14ac:dyDescent="0.3">
      <c r="A296" s="2" t="s">
        <v>327</v>
      </c>
      <c r="B296" s="3">
        <v>45883</v>
      </c>
      <c r="C296" s="2" t="s">
        <v>11</v>
      </c>
      <c r="D296" s="2" t="s">
        <v>16</v>
      </c>
      <c r="E296" s="2" t="s">
        <v>13</v>
      </c>
      <c r="F296" s="2">
        <v>15</v>
      </c>
      <c r="G296" s="15">
        <v>829.63</v>
      </c>
      <c r="H296" s="15">
        <v>12444.45</v>
      </c>
      <c r="I296" s="2">
        <v>0</v>
      </c>
      <c r="J296" s="15">
        <v>12444.45</v>
      </c>
    </row>
    <row r="297" spans="1:10" x14ac:dyDescent="0.3">
      <c r="A297" s="2" t="s">
        <v>328</v>
      </c>
      <c r="B297" s="3">
        <v>46121</v>
      </c>
      <c r="C297" s="2" t="s">
        <v>22</v>
      </c>
      <c r="D297" s="2" t="s">
        <v>32</v>
      </c>
      <c r="E297" s="2" t="s">
        <v>39</v>
      </c>
      <c r="F297" s="2">
        <v>13</v>
      </c>
      <c r="G297" s="15">
        <v>267.13</v>
      </c>
      <c r="H297" s="15">
        <v>3472.69</v>
      </c>
      <c r="I297" s="2">
        <v>10</v>
      </c>
      <c r="J297" s="15">
        <v>3125.42</v>
      </c>
    </row>
    <row r="298" spans="1:10" x14ac:dyDescent="0.3">
      <c r="A298" s="2" t="s">
        <v>329</v>
      </c>
      <c r="B298" s="3">
        <v>46012</v>
      </c>
      <c r="C298" s="2" t="s">
        <v>22</v>
      </c>
      <c r="D298" s="2" t="s">
        <v>12</v>
      </c>
      <c r="E298" s="2" t="s">
        <v>13</v>
      </c>
      <c r="F298" s="2">
        <v>8</v>
      </c>
      <c r="G298" s="15">
        <v>596.36</v>
      </c>
      <c r="H298" s="15">
        <v>4770.88</v>
      </c>
      <c r="I298" s="2">
        <v>0</v>
      </c>
      <c r="J298" s="15">
        <v>4770.88</v>
      </c>
    </row>
    <row r="299" spans="1:10" x14ac:dyDescent="0.3">
      <c r="A299" s="2" t="s">
        <v>330</v>
      </c>
      <c r="B299" s="3">
        <v>46133</v>
      </c>
      <c r="C299" s="2" t="s">
        <v>15</v>
      </c>
      <c r="D299" s="2" t="s">
        <v>52</v>
      </c>
      <c r="E299" s="2" t="s">
        <v>20</v>
      </c>
      <c r="F299" s="2">
        <v>2</v>
      </c>
      <c r="G299" s="15">
        <v>925.26</v>
      </c>
      <c r="H299" s="15">
        <v>1850.52</v>
      </c>
      <c r="I299" s="2">
        <v>20</v>
      </c>
      <c r="J299" s="15">
        <v>1480.42</v>
      </c>
    </row>
    <row r="300" spans="1:10" x14ac:dyDescent="0.3">
      <c r="A300" s="2" t="s">
        <v>331</v>
      </c>
      <c r="B300" s="3">
        <v>46116</v>
      </c>
      <c r="C300" s="2" t="s">
        <v>22</v>
      </c>
      <c r="D300" s="2" t="s">
        <v>12</v>
      </c>
      <c r="E300" s="2" t="s">
        <v>37</v>
      </c>
      <c r="F300" s="2">
        <v>15</v>
      </c>
      <c r="G300" s="15">
        <v>289.72000000000003</v>
      </c>
      <c r="H300" s="15">
        <v>4345.8</v>
      </c>
      <c r="I300" s="2">
        <v>10</v>
      </c>
      <c r="J300" s="15">
        <v>3911.22</v>
      </c>
    </row>
    <row r="301" spans="1:10" x14ac:dyDescent="0.3">
      <c r="A301" s="2" t="s">
        <v>332</v>
      </c>
      <c r="B301" s="3">
        <v>45990</v>
      </c>
      <c r="C301" s="2" t="s">
        <v>11</v>
      </c>
      <c r="D301" s="2" t="s">
        <v>52</v>
      </c>
      <c r="E301" s="2" t="s">
        <v>13</v>
      </c>
      <c r="F301" s="2">
        <v>1</v>
      </c>
      <c r="G301" s="15">
        <v>647</v>
      </c>
      <c r="H301" s="15">
        <v>647</v>
      </c>
      <c r="I301" s="2">
        <v>10</v>
      </c>
      <c r="J301" s="15">
        <v>582.29999999999995</v>
      </c>
    </row>
    <row r="302" spans="1:10" x14ac:dyDescent="0.3">
      <c r="A302" s="2" t="s">
        <v>333</v>
      </c>
      <c r="B302" s="3">
        <v>46142</v>
      </c>
      <c r="C302" s="2" t="s">
        <v>11</v>
      </c>
      <c r="D302" s="2" t="s">
        <v>23</v>
      </c>
      <c r="E302" s="2" t="s">
        <v>30</v>
      </c>
      <c r="F302" s="2">
        <v>2</v>
      </c>
      <c r="G302" s="15">
        <v>457.32</v>
      </c>
      <c r="H302" s="15">
        <v>914.64</v>
      </c>
      <c r="I302" s="2">
        <v>0</v>
      </c>
      <c r="J302" s="15">
        <v>914.64</v>
      </c>
    </row>
    <row r="303" spans="1:10" x14ac:dyDescent="0.3">
      <c r="A303" s="2" t="s">
        <v>334</v>
      </c>
      <c r="B303" s="3">
        <v>46142</v>
      </c>
      <c r="C303" s="2" t="s">
        <v>22</v>
      </c>
      <c r="D303" s="2" t="s">
        <v>32</v>
      </c>
      <c r="E303" s="2" t="s">
        <v>30</v>
      </c>
      <c r="F303" s="2">
        <v>11</v>
      </c>
      <c r="G303" s="15">
        <v>475.21</v>
      </c>
      <c r="H303" s="15">
        <v>5227.3100000000004</v>
      </c>
      <c r="I303" s="2">
        <v>20</v>
      </c>
      <c r="J303" s="15">
        <v>4181.8500000000004</v>
      </c>
    </row>
    <row r="304" spans="1:10" x14ac:dyDescent="0.3">
      <c r="A304" s="2" t="s">
        <v>335</v>
      </c>
      <c r="B304" s="3">
        <v>46058</v>
      </c>
      <c r="C304" s="2" t="s">
        <v>15</v>
      </c>
      <c r="D304" s="2" t="s">
        <v>44</v>
      </c>
      <c r="E304" s="2" t="s">
        <v>76</v>
      </c>
      <c r="F304" s="2">
        <v>14</v>
      </c>
      <c r="G304" s="15">
        <v>913.93</v>
      </c>
      <c r="H304" s="15">
        <v>12795.02</v>
      </c>
      <c r="I304" s="2">
        <v>10</v>
      </c>
      <c r="J304" s="15">
        <v>11515.52</v>
      </c>
    </row>
    <row r="305" spans="1:10" x14ac:dyDescent="0.3">
      <c r="A305" s="2" t="s">
        <v>336</v>
      </c>
      <c r="B305" s="3">
        <v>45838</v>
      </c>
      <c r="C305" s="2" t="s">
        <v>15</v>
      </c>
      <c r="D305" s="2" t="s">
        <v>29</v>
      </c>
      <c r="E305" s="2" t="s">
        <v>24</v>
      </c>
      <c r="F305" s="2">
        <v>5</v>
      </c>
      <c r="G305" s="15">
        <v>683.1</v>
      </c>
      <c r="H305" s="15">
        <v>3415.5</v>
      </c>
      <c r="I305" s="2">
        <v>10</v>
      </c>
      <c r="J305" s="15">
        <v>3073.95</v>
      </c>
    </row>
    <row r="306" spans="1:10" x14ac:dyDescent="0.3">
      <c r="A306" s="2" t="s">
        <v>337</v>
      </c>
      <c r="B306" s="3">
        <v>46163</v>
      </c>
      <c r="C306" s="2" t="s">
        <v>18</v>
      </c>
      <c r="D306" s="2" t="s">
        <v>12</v>
      </c>
      <c r="E306" s="2" t="s">
        <v>39</v>
      </c>
      <c r="F306" s="2">
        <v>12</v>
      </c>
      <c r="G306" s="15">
        <v>253.22</v>
      </c>
      <c r="H306" s="15">
        <v>3038.64</v>
      </c>
      <c r="I306" s="2">
        <v>0</v>
      </c>
      <c r="J306" s="15">
        <v>3038.64</v>
      </c>
    </row>
    <row r="307" spans="1:10" x14ac:dyDescent="0.3">
      <c r="A307" s="2" t="s">
        <v>338</v>
      </c>
      <c r="B307" s="3">
        <v>45826</v>
      </c>
      <c r="C307" s="2" t="s">
        <v>22</v>
      </c>
      <c r="D307" s="2" t="s">
        <v>12</v>
      </c>
      <c r="E307" s="2" t="s">
        <v>76</v>
      </c>
      <c r="F307" s="2">
        <v>3</v>
      </c>
      <c r="G307" s="15">
        <v>883.57</v>
      </c>
      <c r="H307" s="15">
        <v>2650.71</v>
      </c>
      <c r="I307" s="2">
        <v>0</v>
      </c>
      <c r="J307" s="15">
        <v>2650.71</v>
      </c>
    </row>
    <row r="308" spans="1:10" x14ac:dyDescent="0.3">
      <c r="A308" s="2" t="s">
        <v>339</v>
      </c>
      <c r="B308" s="3">
        <v>46075</v>
      </c>
      <c r="C308" s="2" t="s">
        <v>15</v>
      </c>
      <c r="D308" s="2" t="s">
        <v>23</v>
      </c>
      <c r="E308" s="2" t="s">
        <v>33</v>
      </c>
      <c r="F308" s="2">
        <v>9</v>
      </c>
      <c r="G308" s="15">
        <v>829.03</v>
      </c>
      <c r="H308" s="15">
        <v>7461.27</v>
      </c>
      <c r="I308" s="2">
        <v>5</v>
      </c>
      <c r="J308" s="15">
        <v>7088.21</v>
      </c>
    </row>
    <row r="309" spans="1:10" x14ac:dyDescent="0.3">
      <c r="A309" s="2" t="s">
        <v>340</v>
      </c>
      <c r="B309" s="3">
        <v>46154</v>
      </c>
      <c r="C309" s="2" t="s">
        <v>22</v>
      </c>
      <c r="D309" s="2" t="s">
        <v>32</v>
      </c>
      <c r="E309" s="2" t="s">
        <v>30</v>
      </c>
      <c r="F309" s="2">
        <v>19</v>
      </c>
      <c r="G309" s="15">
        <v>976.66</v>
      </c>
      <c r="H309" s="15">
        <v>18556.54</v>
      </c>
      <c r="I309" s="2">
        <v>20</v>
      </c>
      <c r="J309" s="15">
        <v>14845.23</v>
      </c>
    </row>
    <row r="310" spans="1:10" x14ac:dyDescent="0.3">
      <c r="A310" s="2" t="s">
        <v>341</v>
      </c>
      <c r="B310" s="3">
        <v>46039</v>
      </c>
      <c r="C310" s="2" t="s">
        <v>18</v>
      </c>
      <c r="D310" s="2" t="s">
        <v>23</v>
      </c>
      <c r="E310" s="2" t="s">
        <v>30</v>
      </c>
      <c r="F310" s="2">
        <v>4</v>
      </c>
      <c r="G310" s="15">
        <v>645.89</v>
      </c>
      <c r="H310" s="15">
        <v>2583.56</v>
      </c>
      <c r="I310" s="2">
        <v>10</v>
      </c>
      <c r="J310" s="15">
        <v>2325.1999999999998</v>
      </c>
    </row>
    <row r="311" spans="1:10" x14ac:dyDescent="0.3">
      <c r="A311" s="2" t="s">
        <v>342</v>
      </c>
      <c r="B311" s="3">
        <v>46119</v>
      </c>
      <c r="C311" s="2" t="s">
        <v>11</v>
      </c>
      <c r="D311" s="2" t="s">
        <v>44</v>
      </c>
      <c r="E311" s="2" t="s">
        <v>39</v>
      </c>
      <c r="F311" s="2">
        <v>9</v>
      </c>
      <c r="G311" s="15">
        <v>668.78</v>
      </c>
      <c r="H311" s="15">
        <v>6019.02</v>
      </c>
      <c r="I311" s="2">
        <v>20</v>
      </c>
      <c r="J311" s="15">
        <v>4815.22</v>
      </c>
    </row>
    <row r="312" spans="1:10" x14ac:dyDescent="0.3">
      <c r="A312" s="2" t="s">
        <v>343</v>
      </c>
      <c r="B312" s="3">
        <v>45988</v>
      </c>
      <c r="C312" s="2" t="s">
        <v>15</v>
      </c>
      <c r="D312" s="2" t="s">
        <v>29</v>
      </c>
      <c r="E312" s="2" t="s">
        <v>13</v>
      </c>
      <c r="F312" s="2">
        <v>11</v>
      </c>
      <c r="G312" s="15">
        <v>187.45</v>
      </c>
      <c r="H312" s="15">
        <v>2061.9499999999998</v>
      </c>
      <c r="I312" s="2">
        <v>0</v>
      </c>
      <c r="J312" s="15">
        <v>2061.9499999999998</v>
      </c>
    </row>
    <row r="313" spans="1:10" x14ac:dyDescent="0.3">
      <c r="A313" s="2" t="s">
        <v>344</v>
      </c>
      <c r="B313" s="3">
        <v>46151</v>
      </c>
      <c r="C313" s="2" t="s">
        <v>22</v>
      </c>
      <c r="D313" s="2" t="s">
        <v>32</v>
      </c>
      <c r="E313" s="2" t="s">
        <v>27</v>
      </c>
      <c r="F313" s="2">
        <v>7</v>
      </c>
      <c r="G313" s="15">
        <v>732.3</v>
      </c>
      <c r="H313" s="15">
        <v>5126.1000000000004</v>
      </c>
      <c r="I313" s="2">
        <v>15</v>
      </c>
      <c r="J313" s="15">
        <v>4357.1899999999996</v>
      </c>
    </row>
    <row r="314" spans="1:10" x14ac:dyDescent="0.3">
      <c r="A314" s="2" t="s">
        <v>345</v>
      </c>
      <c r="B314" s="3">
        <v>46075</v>
      </c>
      <c r="C314" s="2" t="s">
        <v>22</v>
      </c>
      <c r="D314" s="2" t="s">
        <v>12</v>
      </c>
      <c r="E314" s="2" t="s">
        <v>24</v>
      </c>
      <c r="F314" s="2">
        <v>12</v>
      </c>
      <c r="G314" s="15">
        <v>360.85</v>
      </c>
      <c r="H314" s="15">
        <v>4330.2</v>
      </c>
      <c r="I314" s="2">
        <v>5</v>
      </c>
      <c r="J314" s="15">
        <v>4113.6899999999996</v>
      </c>
    </row>
    <row r="315" spans="1:10" x14ac:dyDescent="0.3">
      <c r="A315" s="2" t="s">
        <v>346</v>
      </c>
      <c r="B315" s="3">
        <v>46135</v>
      </c>
      <c r="C315" s="2" t="s">
        <v>15</v>
      </c>
      <c r="D315" s="2" t="s">
        <v>29</v>
      </c>
      <c r="E315" s="2" t="s">
        <v>87</v>
      </c>
      <c r="F315" s="2">
        <v>17</v>
      </c>
      <c r="G315" s="15">
        <v>715.13</v>
      </c>
      <c r="H315" s="15">
        <v>12157.21</v>
      </c>
      <c r="I315" s="2">
        <v>0</v>
      </c>
      <c r="J315" s="15">
        <v>12157.21</v>
      </c>
    </row>
    <row r="316" spans="1:10" x14ac:dyDescent="0.3">
      <c r="A316" s="2" t="s">
        <v>347</v>
      </c>
      <c r="B316" s="3">
        <v>46044</v>
      </c>
      <c r="C316" s="2" t="s">
        <v>18</v>
      </c>
      <c r="D316" s="2" t="s">
        <v>29</v>
      </c>
      <c r="E316" s="2" t="s">
        <v>39</v>
      </c>
      <c r="F316" s="2">
        <v>5</v>
      </c>
      <c r="G316" s="15">
        <v>405.01</v>
      </c>
      <c r="H316" s="15">
        <v>2025.05</v>
      </c>
      <c r="I316" s="2">
        <v>15</v>
      </c>
      <c r="J316" s="15">
        <v>1721.29</v>
      </c>
    </row>
    <row r="317" spans="1:10" x14ac:dyDescent="0.3">
      <c r="A317" s="2" t="s">
        <v>348</v>
      </c>
      <c r="B317" s="3">
        <v>46127</v>
      </c>
      <c r="C317" s="2" t="s">
        <v>22</v>
      </c>
      <c r="D317" s="2" t="s">
        <v>32</v>
      </c>
      <c r="E317" s="2" t="s">
        <v>37</v>
      </c>
      <c r="F317" s="2">
        <v>11</v>
      </c>
      <c r="G317" s="15">
        <v>96.67</v>
      </c>
      <c r="H317" s="15">
        <v>1063.3699999999999</v>
      </c>
      <c r="I317" s="2">
        <v>15</v>
      </c>
      <c r="J317" s="15">
        <v>903.86</v>
      </c>
    </row>
    <row r="318" spans="1:10" x14ac:dyDescent="0.3">
      <c r="A318" s="2" t="s">
        <v>349</v>
      </c>
      <c r="B318" s="3">
        <v>46129</v>
      </c>
      <c r="C318" s="2" t="s">
        <v>18</v>
      </c>
      <c r="D318" s="2" t="s">
        <v>23</v>
      </c>
      <c r="E318" s="2" t="s">
        <v>33</v>
      </c>
      <c r="F318" s="2">
        <v>20</v>
      </c>
      <c r="G318" s="15">
        <v>863.05</v>
      </c>
      <c r="H318" s="15">
        <v>17261</v>
      </c>
      <c r="I318" s="2">
        <v>5</v>
      </c>
      <c r="J318" s="15">
        <v>16397.95</v>
      </c>
    </row>
    <row r="319" spans="1:10" x14ac:dyDescent="0.3">
      <c r="A319" s="2" t="s">
        <v>350</v>
      </c>
      <c r="B319" s="3">
        <v>45935</v>
      </c>
      <c r="C319" s="2" t="s">
        <v>11</v>
      </c>
      <c r="D319" s="2" t="s">
        <v>12</v>
      </c>
      <c r="E319" s="2" t="s">
        <v>20</v>
      </c>
      <c r="F319" s="2">
        <v>15</v>
      </c>
      <c r="G319" s="15">
        <v>646.04</v>
      </c>
      <c r="H319" s="15">
        <v>9690.6</v>
      </c>
      <c r="I319" s="2">
        <v>5</v>
      </c>
      <c r="J319" s="15">
        <v>9206.07</v>
      </c>
    </row>
    <row r="320" spans="1:10" x14ac:dyDescent="0.3">
      <c r="A320" s="2" t="s">
        <v>351</v>
      </c>
      <c r="B320" s="3">
        <v>45813</v>
      </c>
      <c r="C320" s="2" t="s">
        <v>11</v>
      </c>
      <c r="D320" s="2" t="s">
        <v>23</v>
      </c>
      <c r="E320" s="2" t="s">
        <v>13</v>
      </c>
      <c r="F320" s="2">
        <v>15</v>
      </c>
      <c r="G320" s="15">
        <v>354.85</v>
      </c>
      <c r="H320" s="15">
        <v>5322.75</v>
      </c>
      <c r="I320" s="2">
        <v>15</v>
      </c>
      <c r="J320" s="15">
        <v>4524.34</v>
      </c>
    </row>
    <row r="321" spans="1:10" x14ac:dyDescent="0.3">
      <c r="A321" s="2" t="s">
        <v>352</v>
      </c>
      <c r="B321" s="3">
        <v>46113</v>
      </c>
      <c r="C321" s="2" t="s">
        <v>15</v>
      </c>
      <c r="D321" s="2" t="s">
        <v>29</v>
      </c>
      <c r="E321" s="2" t="s">
        <v>27</v>
      </c>
      <c r="F321" s="2">
        <v>9</v>
      </c>
      <c r="G321" s="15">
        <v>739.9</v>
      </c>
      <c r="H321" s="15">
        <v>6659.1</v>
      </c>
      <c r="I321" s="2">
        <v>0</v>
      </c>
      <c r="J321" s="15">
        <v>6659.1</v>
      </c>
    </row>
    <row r="322" spans="1:10" x14ac:dyDescent="0.3">
      <c r="A322" s="2" t="s">
        <v>353</v>
      </c>
      <c r="B322" s="3">
        <v>45943</v>
      </c>
      <c r="C322" s="2" t="s">
        <v>11</v>
      </c>
      <c r="D322" s="2" t="s">
        <v>29</v>
      </c>
      <c r="E322" s="2" t="s">
        <v>33</v>
      </c>
      <c r="F322" s="2">
        <v>8</v>
      </c>
      <c r="G322" s="15">
        <v>516.33000000000004</v>
      </c>
      <c r="H322" s="15">
        <v>4130.6400000000003</v>
      </c>
      <c r="I322" s="2">
        <v>15</v>
      </c>
      <c r="J322" s="15">
        <v>3511.04</v>
      </c>
    </row>
    <row r="323" spans="1:10" x14ac:dyDescent="0.3">
      <c r="A323" s="2" t="s">
        <v>354</v>
      </c>
      <c r="B323" s="3">
        <v>45896</v>
      </c>
      <c r="C323" s="2" t="s">
        <v>22</v>
      </c>
      <c r="D323" s="2" t="s">
        <v>19</v>
      </c>
      <c r="E323" s="2" t="s">
        <v>87</v>
      </c>
      <c r="F323" s="2">
        <v>6</v>
      </c>
      <c r="G323" s="15">
        <v>878.58</v>
      </c>
      <c r="H323" s="15">
        <v>5271.48</v>
      </c>
      <c r="I323" s="2">
        <v>20</v>
      </c>
      <c r="J323" s="15">
        <v>4217.18</v>
      </c>
    </row>
    <row r="324" spans="1:10" x14ac:dyDescent="0.3">
      <c r="A324" s="2" t="s">
        <v>355</v>
      </c>
      <c r="B324" s="3">
        <v>46120</v>
      </c>
      <c r="C324" s="2" t="s">
        <v>11</v>
      </c>
      <c r="D324" s="2" t="s">
        <v>44</v>
      </c>
      <c r="E324" s="2" t="s">
        <v>39</v>
      </c>
      <c r="F324" s="2">
        <v>19</v>
      </c>
      <c r="G324" s="15">
        <v>534.33000000000004</v>
      </c>
      <c r="H324" s="15">
        <v>10152.27</v>
      </c>
      <c r="I324" s="2">
        <v>5</v>
      </c>
      <c r="J324" s="15">
        <v>9644.66</v>
      </c>
    </row>
    <row r="325" spans="1:10" x14ac:dyDescent="0.3">
      <c r="A325" s="2" t="s">
        <v>356</v>
      </c>
      <c r="B325" s="3">
        <v>45886</v>
      </c>
      <c r="C325" s="2" t="s">
        <v>18</v>
      </c>
      <c r="D325" s="2" t="s">
        <v>16</v>
      </c>
      <c r="E325" s="2" t="s">
        <v>76</v>
      </c>
      <c r="F325" s="2">
        <v>11</v>
      </c>
      <c r="G325" s="15">
        <v>513.35</v>
      </c>
      <c r="H325" s="15">
        <v>5646.85</v>
      </c>
      <c r="I325" s="2">
        <v>0</v>
      </c>
      <c r="J325" s="15">
        <v>5646.85</v>
      </c>
    </row>
    <row r="326" spans="1:10" x14ac:dyDescent="0.3">
      <c r="A326" s="2" t="s">
        <v>357</v>
      </c>
      <c r="B326" s="3">
        <v>46068</v>
      </c>
      <c r="C326" s="2" t="s">
        <v>11</v>
      </c>
      <c r="D326" s="2" t="s">
        <v>32</v>
      </c>
      <c r="E326" s="2" t="s">
        <v>27</v>
      </c>
      <c r="F326" s="2">
        <v>16</v>
      </c>
      <c r="G326" s="15">
        <v>781.11</v>
      </c>
      <c r="H326" s="15">
        <v>12497.76</v>
      </c>
      <c r="I326" s="2">
        <v>20</v>
      </c>
      <c r="J326" s="15">
        <v>9998.2099999999991</v>
      </c>
    </row>
    <row r="327" spans="1:10" x14ac:dyDescent="0.3">
      <c r="A327" s="2" t="s">
        <v>358</v>
      </c>
      <c r="B327" s="3">
        <v>45827</v>
      </c>
      <c r="C327" s="2" t="s">
        <v>11</v>
      </c>
      <c r="D327" s="2" t="s">
        <v>60</v>
      </c>
      <c r="E327" s="2" t="s">
        <v>76</v>
      </c>
      <c r="F327" s="2">
        <v>9</v>
      </c>
      <c r="G327" s="15">
        <v>610.1</v>
      </c>
      <c r="H327" s="15">
        <v>5490.9</v>
      </c>
      <c r="I327" s="2">
        <v>10</v>
      </c>
      <c r="J327" s="15">
        <v>4941.8100000000004</v>
      </c>
    </row>
    <row r="328" spans="1:10" x14ac:dyDescent="0.3">
      <c r="A328" s="2" t="s">
        <v>359</v>
      </c>
      <c r="B328" s="3">
        <v>45827</v>
      </c>
      <c r="C328" s="2" t="s">
        <v>11</v>
      </c>
      <c r="D328" s="2" t="s">
        <v>60</v>
      </c>
      <c r="E328" s="2" t="s">
        <v>87</v>
      </c>
      <c r="F328" s="2">
        <v>4</v>
      </c>
      <c r="G328" s="15">
        <v>990.34</v>
      </c>
      <c r="H328" s="15">
        <v>3961.36</v>
      </c>
      <c r="I328" s="2">
        <v>5</v>
      </c>
      <c r="J328" s="15">
        <v>3763.29</v>
      </c>
    </row>
    <row r="329" spans="1:10" x14ac:dyDescent="0.3">
      <c r="A329" s="2" t="s">
        <v>360</v>
      </c>
      <c r="B329" s="3">
        <v>46131</v>
      </c>
      <c r="C329" s="2" t="s">
        <v>18</v>
      </c>
      <c r="D329" s="2" t="s">
        <v>26</v>
      </c>
      <c r="E329" s="2" t="s">
        <v>37</v>
      </c>
      <c r="F329" s="2">
        <v>12</v>
      </c>
      <c r="G329" s="15">
        <v>600.42999999999995</v>
      </c>
      <c r="H329" s="15">
        <v>7205.16</v>
      </c>
      <c r="I329" s="2">
        <v>5</v>
      </c>
      <c r="J329" s="15">
        <v>6844.9</v>
      </c>
    </row>
    <row r="330" spans="1:10" x14ac:dyDescent="0.3">
      <c r="A330" s="2" t="s">
        <v>361</v>
      </c>
      <c r="B330" s="3">
        <v>46046</v>
      </c>
      <c r="C330" s="2" t="s">
        <v>15</v>
      </c>
      <c r="D330" s="2" t="s">
        <v>29</v>
      </c>
      <c r="E330" s="2" t="s">
        <v>13</v>
      </c>
      <c r="F330" s="2">
        <v>11</v>
      </c>
      <c r="G330" s="15">
        <v>256.82</v>
      </c>
      <c r="H330" s="15">
        <v>2825.02</v>
      </c>
      <c r="I330" s="2">
        <v>5</v>
      </c>
      <c r="J330" s="15">
        <v>2683.77</v>
      </c>
    </row>
    <row r="331" spans="1:10" x14ac:dyDescent="0.3">
      <c r="A331" s="2" t="s">
        <v>362</v>
      </c>
      <c r="B331" s="3">
        <v>46150</v>
      </c>
      <c r="C331" s="2" t="s">
        <v>15</v>
      </c>
      <c r="D331" s="2" t="s">
        <v>23</v>
      </c>
      <c r="E331" s="2" t="s">
        <v>30</v>
      </c>
      <c r="F331" s="2">
        <v>5</v>
      </c>
      <c r="G331" s="15">
        <v>433.68</v>
      </c>
      <c r="H331" s="15">
        <v>2168.4</v>
      </c>
      <c r="I331" s="2">
        <v>20</v>
      </c>
      <c r="J331" s="15">
        <v>1734.72</v>
      </c>
    </row>
    <row r="332" spans="1:10" x14ac:dyDescent="0.3">
      <c r="A332" s="2" t="s">
        <v>363</v>
      </c>
      <c r="B332" s="3">
        <v>45810</v>
      </c>
      <c r="C332" s="2" t="s">
        <v>18</v>
      </c>
      <c r="D332" s="2" t="s">
        <v>26</v>
      </c>
      <c r="E332" s="2" t="s">
        <v>24</v>
      </c>
      <c r="F332" s="2">
        <v>16</v>
      </c>
      <c r="G332" s="15">
        <v>546.51</v>
      </c>
      <c r="H332" s="15">
        <v>8744.16</v>
      </c>
      <c r="I332" s="2">
        <v>15</v>
      </c>
      <c r="J332" s="15">
        <v>7432.54</v>
      </c>
    </row>
    <row r="333" spans="1:10" x14ac:dyDescent="0.3">
      <c r="A333" s="2" t="s">
        <v>364</v>
      </c>
      <c r="B333" s="3">
        <v>45988</v>
      </c>
      <c r="C333" s="2" t="s">
        <v>11</v>
      </c>
      <c r="D333" s="2" t="s">
        <v>23</v>
      </c>
      <c r="E333" s="2" t="s">
        <v>27</v>
      </c>
      <c r="F333" s="2">
        <v>2</v>
      </c>
      <c r="G333" s="15">
        <v>682.57</v>
      </c>
      <c r="H333" s="15">
        <v>1365.14</v>
      </c>
      <c r="I333" s="2">
        <v>5</v>
      </c>
      <c r="J333" s="15">
        <v>1296.8800000000001</v>
      </c>
    </row>
    <row r="334" spans="1:10" x14ac:dyDescent="0.3">
      <c r="A334" s="2" t="s">
        <v>365</v>
      </c>
      <c r="B334" s="3">
        <v>45814</v>
      </c>
      <c r="C334" s="2" t="s">
        <v>15</v>
      </c>
      <c r="D334" s="2" t="s">
        <v>29</v>
      </c>
      <c r="E334" s="2" t="s">
        <v>87</v>
      </c>
      <c r="F334" s="2">
        <v>14</v>
      </c>
      <c r="G334" s="15">
        <v>743.93</v>
      </c>
      <c r="H334" s="15">
        <v>10415.02</v>
      </c>
      <c r="I334" s="2">
        <v>0</v>
      </c>
      <c r="J334" s="15">
        <v>10415.02</v>
      </c>
    </row>
    <row r="335" spans="1:10" x14ac:dyDescent="0.3">
      <c r="A335" s="2" t="s">
        <v>366</v>
      </c>
      <c r="B335" s="3">
        <v>45893</v>
      </c>
      <c r="C335" s="2" t="s">
        <v>22</v>
      </c>
      <c r="D335" s="2" t="s">
        <v>32</v>
      </c>
      <c r="E335" s="2" t="s">
        <v>20</v>
      </c>
      <c r="F335" s="2">
        <v>10</v>
      </c>
      <c r="G335" s="15">
        <v>498.25</v>
      </c>
      <c r="H335" s="15">
        <v>4982.5</v>
      </c>
      <c r="I335" s="2">
        <v>5</v>
      </c>
      <c r="J335" s="15">
        <v>4733.38</v>
      </c>
    </row>
    <row r="336" spans="1:10" x14ac:dyDescent="0.3">
      <c r="A336" s="2" t="s">
        <v>367</v>
      </c>
      <c r="B336" s="3">
        <v>46055</v>
      </c>
      <c r="C336" s="2" t="s">
        <v>11</v>
      </c>
      <c r="D336" s="2" t="s">
        <v>12</v>
      </c>
      <c r="E336" s="2" t="s">
        <v>39</v>
      </c>
      <c r="F336" s="2">
        <v>5</v>
      </c>
      <c r="G336" s="15">
        <v>800.85</v>
      </c>
      <c r="H336" s="15">
        <v>4004.25</v>
      </c>
      <c r="I336" s="2">
        <v>10</v>
      </c>
      <c r="J336" s="15">
        <v>3603.82</v>
      </c>
    </row>
    <row r="337" spans="1:10" x14ac:dyDescent="0.3">
      <c r="A337" s="2" t="s">
        <v>368</v>
      </c>
      <c r="B337" s="3">
        <v>46080</v>
      </c>
      <c r="C337" s="2" t="s">
        <v>22</v>
      </c>
      <c r="D337" s="2" t="s">
        <v>29</v>
      </c>
      <c r="E337" s="2" t="s">
        <v>87</v>
      </c>
      <c r="F337" s="2">
        <v>16</v>
      </c>
      <c r="G337" s="15">
        <v>685.57</v>
      </c>
      <c r="H337" s="15">
        <v>10969.12</v>
      </c>
      <c r="I337" s="2">
        <v>10</v>
      </c>
      <c r="J337" s="15">
        <v>9872.2099999999991</v>
      </c>
    </row>
    <row r="338" spans="1:10" x14ac:dyDescent="0.3">
      <c r="A338" s="2" t="s">
        <v>369</v>
      </c>
      <c r="B338" s="3">
        <v>45902</v>
      </c>
      <c r="C338" s="2" t="s">
        <v>22</v>
      </c>
      <c r="D338" s="2" t="s">
        <v>26</v>
      </c>
      <c r="E338" s="2" t="s">
        <v>24</v>
      </c>
      <c r="F338" s="2">
        <v>7</v>
      </c>
      <c r="G338" s="15">
        <v>478.25</v>
      </c>
      <c r="H338" s="15">
        <v>3347.75</v>
      </c>
      <c r="I338" s="2">
        <v>10</v>
      </c>
      <c r="J338" s="15">
        <v>3012.97</v>
      </c>
    </row>
    <row r="339" spans="1:10" x14ac:dyDescent="0.3">
      <c r="A339" s="2" t="s">
        <v>370</v>
      </c>
      <c r="B339" s="3">
        <v>46107</v>
      </c>
      <c r="C339" s="2" t="s">
        <v>15</v>
      </c>
      <c r="D339" s="2" t="s">
        <v>32</v>
      </c>
      <c r="E339" s="2" t="s">
        <v>24</v>
      </c>
      <c r="F339" s="2">
        <v>13</v>
      </c>
      <c r="G339" s="15">
        <v>444.44</v>
      </c>
      <c r="H339" s="15">
        <v>5777.72</v>
      </c>
      <c r="I339" s="2">
        <v>15</v>
      </c>
      <c r="J339" s="15">
        <v>4911.0600000000004</v>
      </c>
    </row>
    <row r="340" spans="1:10" x14ac:dyDescent="0.3">
      <c r="A340" s="2" t="s">
        <v>371</v>
      </c>
      <c r="B340" s="3">
        <v>45915</v>
      </c>
      <c r="C340" s="2" t="s">
        <v>15</v>
      </c>
      <c r="D340" s="2" t="s">
        <v>12</v>
      </c>
      <c r="E340" s="2" t="s">
        <v>24</v>
      </c>
      <c r="F340" s="2">
        <v>19</v>
      </c>
      <c r="G340" s="15">
        <v>241.13</v>
      </c>
      <c r="H340" s="15">
        <v>4581.47</v>
      </c>
      <c r="I340" s="2">
        <v>20</v>
      </c>
      <c r="J340" s="15">
        <v>3665.18</v>
      </c>
    </row>
    <row r="341" spans="1:10" x14ac:dyDescent="0.3">
      <c r="A341" s="2" t="s">
        <v>372</v>
      </c>
      <c r="B341" s="3">
        <v>45814</v>
      </c>
      <c r="C341" s="2" t="s">
        <v>22</v>
      </c>
      <c r="D341" s="2" t="s">
        <v>19</v>
      </c>
      <c r="E341" s="2" t="s">
        <v>87</v>
      </c>
      <c r="F341" s="2">
        <v>18</v>
      </c>
      <c r="G341" s="15">
        <v>659.13</v>
      </c>
      <c r="H341" s="15">
        <v>11864.34</v>
      </c>
      <c r="I341" s="2">
        <v>20</v>
      </c>
      <c r="J341" s="15">
        <v>9491.4699999999993</v>
      </c>
    </row>
    <row r="342" spans="1:10" x14ac:dyDescent="0.3">
      <c r="A342" s="2" t="s">
        <v>373</v>
      </c>
      <c r="B342" s="3">
        <v>45841</v>
      </c>
      <c r="C342" s="2" t="s">
        <v>22</v>
      </c>
      <c r="D342" s="2" t="s">
        <v>26</v>
      </c>
      <c r="E342" s="2" t="s">
        <v>24</v>
      </c>
      <c r="F342" s="2">
        <v>20</v>
      </c>
      <c r="G342" s="15">
        <v>51.23</v>
      </c>
      <c r="H342" s="15">
        <v>1024.5999999999999</v>
      </c>
      <c r="I342" s="2">
        <v>5</v>
      </c>
      <c r="J342" s="15">
        <v>973.37</v>
      </c>
    </row>
    <row r="343" spans="1:10" x14ac:dyDescent="0.3">
      <c r="A343" s="2" t="s">
        <v>374</v>
      </c>
      <c r="B343" s="3">
        <v>46090</v>
      </c>
      <c r="C343" s="2" t="s">
        <v>11</v>
      </c>
      <c r="D343" s="2" t="s">
        <v>16</v>
      </c>
      <c r="E343" s="2" t="s">
        <v>30</v>
      </c>
      <c r="F343" s="2">
        <v>8</v>
      </c>
      <c r="G343" s="15">
        <v>748.07</v>
      </c>
      <c r="H343" s="15">
        <v>5984.56</v>
      </c>
      <c r="I343" s="2">
        <v>15</v>
      </c>
      <c r="J343" s="15">
        <v>5086.88</v>
      </c>
    </row>
    <row r="344" spans="1:10" x14ac:dyDescent="0.3">
      <c r="A344" s="2" t="s">
        <v>375</v>
      </c>
      <c r="B344" s="3">
        <v>46031</v>
      </c>
      <c r="C344" s="2" t="s">
        <v>11</v>
      </c>
      <c r="D344" s="2" t="s">
        <v>32</v>
      </c>
      <c r="E344" s="2" t="s">
        <v>24</v>
      </c>
      <c r="F344" s="2">
        <v>3</v>
      </c>
      <c r="G344" s="15">
        <v>670.43</v>
      </c>
      <c r="H344" s="15">
        <v>2011.29</v>
      </c>
      <c r="I344" s="2">
        <v>5</v>
      </c>
      <c r="J344" s="15">
        <v>1910.73</v>
      </c>
    </row>
    <row r="345" spans="1:10" x14ac:dyDescent="0.3">
      <c r="A345" s="2" t="s">
        <v>376</v>
      </c>
      <c r="B345" s="3">
        <v>46001</v>
      </c>
      <c r="C345" s="2" t="s">
        <v>11</v>
      </c>
      <c r="D345" s="2" t="s">
        <v>60</v>
      </c>
      <c r="E345" s="2" t="s">
        <v>37</v>
      </c>
      <c r="F345" s="2">
        <v>15</v>
      </c>
      <c r="G345" s="15">
        <v>754.4</v>
      </c>
      <c r="H345" s="15">
        <v>11316</v>
      </c>
      <c r="I345" s="2">
        <v>10</v>
      </c>
      <c r="J345" s="15">
        <v>10184.4</v>
      </c>
    </row>
    <row r="346" spans="1:10" x14ac:dyDescent="0.3">
      <c r="A346" s="2" t="s">
        <v>377</v>
      </c>
      <c r="B346" s="3">
        <v>46122</v>
      </c>
      <c r="C346" s="2" t="s">
        <v>18</v>
      </c>
      <c r="D346" s="2" t="s">
        <v>29</v>
      </c>
      <c r="E346" s="2" t="s">
        <v>30</v>
      </c>
      <c r="F346" s="2">
        <v>17</v>
      </c>
      <c r="G346" s="15">
        <v>621.62</v>
      </c>
      <c r="H346" s="15">
        <v>10567.54</v>
      </c>
      <c r="I346" s="2">
        <v>5</v>
      </c>
      <c r="J346" s="15">
        <v>10039.16</v>
      </c>
    </row>
    <row r="347" spans="1:10" x14ac:dyDescent="0.3">
      <c r="A347" s="2" t="s">
        <v>378</v>
      </c>
      <c r="B347" s="3">
        <v>45846</v>
      </c>
      <c r="C347" s="2" t="s">
        <v>11</v>
      </c>
      <c r="D347" s="2" t="s">
        <v>19</v>
      </c>
      <c r="E347" s="2" t="s">
        <v>30</v>
      </c>
      <c r="F347" s="2">
        <v>19</v>
      </c>
      <c r="G347" s="15">
        <v>949.35</v>
      </c>
      <c r="H347" s="15">
        <v>18037.650000000001</v>
      </c>
      <c r="I347" s="2">
        <v>10</v>
      </c>
      <c r="J347" s="15">
        <v>16233.89</v>
      </c>
    </row>
    <row r="348" spans="1:10" x14ac:dyDescent="0.3">
      <c r="A348" s="2" t="s">
        <v>379</v>
      </c>
      <c r="B348" s="3">
        <v>46017</v>
      </c>
      <c r="C348" s="2" t="s">
        <v>15</v>
      </c>
      <c r="D348" s="2" t="s">
        <v>23</v>
      </c>
      <c r="E348" s="2" t="s">
        <v>13</v>
      </c>
      <c r="F348" s="2">
        <v>5</v>
      </c>
      <c r="G348" s="15">
        <v>276.95999999999998</v>
      </c>
      <c r="H348" s="15">
        <v>1384.8</v>
      </c>
      <c r="I348" s="2">
        <v>10</v>
      </c>
      <c r="J348" s="15">
        <v>1246.32</v>
      </c>
    </row>
    <row r="349" spans="1:10" x14ac:dyDescent="0.3">
      <c r="A349" s="2" t="s">
        <v>380</v>
      </c>
      <c r="B349" s="3">
        <v>46156</v>
      </c>
      <c r="C349" s="2" t="s">
        <v>11</v>
      </c>
      <c r="D349" s="2" t="s">
        <v>32</v>
      </c>
      <c r="E349" s="2" t="s">
        <v>37</v>
      </c>
      <c r="F349" s="2">
        <v>1</v>
      </c>
      <c r="G349" s="15">
        <v>211.68</v>
      </c>
      <c r="H349" s="15">
        <v>211.68</v>
      </c>
      <c r="I349" s="2">
        <v>5</v>
      </c>
      <c r="J349" s="15">
        <v>201.1</v>
      </c>
    </row>
    <row r="350" spans="1:10" x14ac:dyDescent="0.3">
      <c r="A350" s="2" t="s">
        <v>381</v>
      </c>
      <c r="B350" s="3">
        <v>45829</v>
      </c>
      <c r="C350" s="2" t="s">
        <v>11</v>
      </c>
      <c r="D350" s="2" t="s">
        <v>12</v>
      </c>
      <c r="E350" s="2" t="s">
        <v>76</v>
      </c>
      <c r="F350" s="2">
        <v>1</v>
      </c>
      <c r="G350" s="15">
        <v>170.15</v>
      </c>
      <c r="H350" s="15">
        <v>170.15</v>
      </c>
      <c r="I350" s="2">
        <v>10</v>
      </c>
      <c r="J350" s="15">
        <v>153.13</v>
      </c>
    </row>
    <row r="351" spans="1:10" x14ac:dyDescent="0.3">
      <c r="A351" s="2" t="s">
        <v>382</v>
      </c>
      <c r="B351" s="3">
        <v>46033</v>
      </c>
      <c r="C351" s="2" t="s">
        <v>18</v>
      </c>
      <c r="D351" s="2" t="s">
        <v>26</v>
      </c>
      <c r="E351" s="2" t="s">
        <v>87</v>
      </c>
      <c r="F351" s="2">
        <v>4</v>
      </c>
      <c r="G351" s="15">
        <v>53.29</v>
      </c>
      <c r="H351" s="15">
        <v>213.16</v>
      </c>
      <c r="I351" s="2">
        <v>15</v>
      </c>
      <c r="J351" s="15">
        <v>181.19</v>
      </c>
    </row>
    <row r="352" spans="1:10" x14ac:dyDescent="0.3">
      <c r="A352" s="2" t="s">
        <v>383</v>
      </c>
      <c r="B352" s="3">
        <v>46066</v>
      </c>
      <c r="C352" s="2" t="s">
        <v>18</v>
      </c>
      <c r="D352" s="2" t="s">
        <v>12</v>
      </c>
      <c r="E352" s="2" t="s">
        <v>20</v>
      </c>
      <c r="F352" s="2">
        <v>17</v>
      </c>
      <c r="G352" s="15">
        <v>200.19</v>
      </c>
      <c r="H352" s="15">
        <v>3403.23</v>
      </c>
      <c r="I352" s="2">
        <v>5</v>
      </c>
      <c r="J352" s="15">
        <v>3233.07</v>
      </c>
    </row>
    <row r="353" spans="1:10" x14ac:dyDescent="0.3">
      <c r="A353" s="2" t="s">
        <v>384</v>
      </c>
      <c r="B353" s="3">
        <v>45985</v>
      </c>
      <c r="C353" s="2" t="s">
        <v>22</v>
      </c>
      <c r="D353" s="2" t="s">
        <v>12</v>
      </c>
      <c r="E353" s="2" t="s">
        <v>13</v>
      </c>
      <c r="F353" s="2">
        <v>15</v>
      </c>
      <c r="G353" s="15">
        <v>727.58</v>
      </c>
      <c r="H353" s="15">
        <v>10913.7</v>
      </c>
      <c r="I353" s="2">
        <v>15</v>
      </c>
      <c r="J353" s="15">
        <v>9276.65</v>
      </c>
    </row>
    <row r="354" spans="1:10" x14ac:dyDescent="0.3">
      <c r="A354" s="2" t="s">
        <v>385</v>
      </c>
      <c r="B354" s="3">
        <v>45999</v>
      </c>
      <c r="C354" s="2" t="s">
        <v>15</v>
      </c>
      <c r="D354" s="2" t="s">
        <v>26</v>
      </c>
      <c r="E354" s="2" t="s">
        <v>37</v>
      </c>
      <c r="F354" s="2">
        <v>11</v>
      </c>
      <c r="G354" s="15">
        <v>137.80000000000001</v>
      </c>
      <c r="H354" s="15">
        <v>1515.8</v>
      </c>
      <c r="I354" s="2">
        <v>15</v>
      </c>
      <c r="J354" s="15">
        <v>1288.43</v>
      </c>
    </row>
    <row r="355" spans="1:10" x14ac:dyDescent="0.3">
      <c r="A355" s="2" t="s">
        <v>386</v>
      </c>
      <c r="B355" s="3">
        <v>46022</v>
      </c>
      <c r="C355" s="2" t="s">
        <v>11</v>
      </c>
      <c r="D355" s="2" t="s">
        <v>52</v>
      </c>
      <c r="E355" s="2" t="s">
        <v>87</v>
      </c>
      <c r="F355" s="2">
        <v>4</v>
      </c>
      <c r="G355" s="15">
        <v>783.77</v>
      </c>
      <c r="H355" s="15">
        <v>3135.08</v>
      </c>
      <c r="I355" s="2">
        <v>15</v>
      </c>
      <c r="J355" s="15">
        <v>2664.82</v>
      </c>
    </row>
    <row r="356" spans="1:10" x14ac:dyDescent="0.3">
      <c r="A356" s="2" t="s">
        <v>387</v>
      </c>
      <c r="B356" s="3">
        <v>46069</v>
      </c>
      <c r="C356" s="2" t="s">
        <v>15</v>
      </c>
      <c r="D356" s="2" t="s">
        <v>44</v>
      </c>
      <c r="E356" s="2" t="s">
        <v>13</v>
      </c>
      <c r="F356" s="2">
        <v>18</v>
      </c>
      <c r="G356" s="15">
        <v>932.23</v>
      </c>
      <c r="H356" s="15">
        <v>16780.14</v>
      </c>
      <c r="I356" s="2">
        <v>5</v>
      </c>
      <c r="J356" s="15">
        <v>15941.13</v>
      </c>
    </row>
    <row r="357" spans="1:10" x14ac:dyDescent="0.3">
      <c r="A357" s="2" t="s">
        <v>388</v>
      </c>
      <c r="B357" s="3">
        <v>46065</v>
      </c>
      <c r="C357" s="2" t="s">
        <v>18</v>
      </c>
      <c r="D357" s="2" t="s">
        <v>32</v>
      </c>
      <c r="E357" s="2" t="s">
        <v>37</v>
      </c>
      <c r="F357" s="2">
        <v>18</v>
      </c>
      <c r="G357" s="15">
        <v>416.18</v>
      </c>
      <c r="H357" s="15">
        <v>7491.24</v>
      </c>
      <c r="I357" s="2">
        <v>15</v>
      </c>
      <c r="J357" s="15">
        <v>6367.55</v>
      </c>
    </row>
    <row r="358" spans="1:10" x14ac:dyDescent="0.3">
      <c r="A358" s="2" t="s">
        <v>389</v>
      </c>
      <c r="B358" s="3">
        <v>45943</v>
      </c>
      <c r="C358" s="2" t="s">
        <v>22</v>
      </c>
      <c r="D358" s="2" t="s">
        <v>44</v>
      </c>
      <c r="E358" s="2" t="s">
        <v>13</v>
      </c>
      <c r="F358" s="2">
        <v>2</v>
      </c>
      <c r="G358" s="15">
        <v>555.19000000000005</v>
      </c>
      <c r="H358" s="15">
        <v>1110.3800000000001</v>
      </c>
      <c r="I358" s="2">
        <v>20</v>
      </c>
      <c r="J358" s="15">
        <v>888.3</v>
      </c>
    </row>
    <row r="359" spans="1:10" x14ac:dyDescent="0.3">
      <c r="A359" s="2" t="s">
        <v>390</v>
      </c>
      <c r="B359" s="3">
        <v>45988</v>
      </c>
      <c r="C359" s="2" t="s">
        <v>15</v>
      </c>
      <c r="D359" s="2" t="s">
        <v>32</v>
      </c>
      <c r="E359" s="2" t="s">
        <v>39</v>
      </c>
      <c r="F359" s="2">
        <v>5</v>
      </c>
      <c r="G359" s="15">
        <v>188.59</v>
      </c>
      <c r="H359" s="15">
        <v>942.95</v>
      </c>
      <c r="I359" s="2">
        <v>20</v>
      </c>
      <c r="J359" s="15">
        <v>754.36</v>
      </c>
    </row>
    <row r="360" spans="1:10" x14ac:dyDescent="0.3">
      <c r="A360" s="2" t="s">
        <v>391</v>
      </c>
      <c r="B360" s="3">
        <v>45893</v>
      </c>
      <c r="C360" s="2" t="s">
        <v>11</v>
      </c>
      <c r="D360" s="2" t="s">
        <v>12</v>
      </c>
      <c r="E360" s="2" t="s">
        <v>37</v>
      </c>
      <c r="F360" s="2">
        <v>17</v>
      </c>
      <c r="G360" s="15">
        <v>856.25</v>
      </c>
      <c r="H360" s="15">
        <v>14556.25</v>
      </c>
      <c r="I360" s="2">
        <v>5</v>
      </c>
      <c r="J360" s="15">
        <v>13828.44</v>
      </c>
    </row>
    <row r="361" spans="1:10" x14ac:dyDescent="0.3">
      <c r="A361" s="2" t="s">
        <v>392</v>
      </c>
      <c r="B361" s="3">
        <v>45979</v>
      </c>
      <c r="C361" s="2" t="s">
        <v>22</v>
      </c>
      <c r="D361" s="2" t="s">
        <v>32</v>
      </c>
      <c r="E361" s="2" t="s">
        <v>30</v>
      </c>
      <c r="F361" s="2">
        <v>6</v>
      </c>
      <c r="G361" s="15">
        <v>205.71</v>
      </c>
      <c r="H361" s="15">
        <v>1234.26</v>
      </c>
      <c r="I361" s="2">
        <v>20</v>
      </c>
      <c r="J361" s="15">
        <v>987.41</v>
      </c>
    </row>
    <row r="362" spans="1:10" x14ac:dyDescent="0.3">
      <c r="A362" s="2" t="s">
        <v>393</v>
      </c>
      <c r="B362" s="3">
        <v>46064</v>
      </c>
      <c r="C362" s="2" t="s">
        <v>22</v>
      </c>
      <c r="D362" s="2" t="s">
        <v>52</v>
      </c>
      <c r="E362" s="2" t="s">
        <v>24</v>
      </c>
      <c r="F362" s="2">
        <v>7</v>
      </c>
      <c r="G362" s="15">
        <v>313.72000000000003</v>
      </c>
      <c r="H362" s="15">
        <v>2196.04</v>
      </c>
      <c r="I362" s="2">
        <v>5</v>
      </c>
      <c r="J362" s="15">
        <v>2086.2399999999998</v>
      </c>
    </row>
    <row r="363" spans="1:10" x14ac:dyDescent="0.3">
      <c r="A363" s="2" t="s">
        <v>394</v>
      </c>
      <c r="B363" s="3">
        <v>46026</v>
      </c>
      <c r="C363" s="2" t="s">
        <v>15</v>
      </c>
      <c r="D363" s="2" t="s">
        <v>60</v>
      </c>
      <c r="E363" s="2" t="s">
        <v>27</v>
      </c>
      <c r="F363" s="2">
        <v>10</v>
      </c>
      <c r="G363" s="15">
        <v>250.83</v>
      </c>
      <c r="H363" s="15">
        <v>2508.3000000000002</v>
      </c>
      <c r="I363" s="2">
        <v>15</v>
      </c>
      <c r="J363" s="15">
        <v>2132.06</v>
      </c>
    </row>
    <row r="364" spans="1:10" x14ac:dyDescent="0.3">
      <c r="A364" s="2" t="s">
        <v>395</v>
      </c>
      <c r="B364" s="3">
        <v>46049</v>
      </c>
      <c r="C364" s="2" t="s">
        <v>22</v>
      </c>
      <c r="D364" s="2" t="s">
        <v>60</v>
      </c>
      <c r="E364" s="2" t="s">
        <v>13</v>
      </c>
      <c r="F364" s="2">
        <v>3</v>
      </c>
      <c r="G364" s="15">
        <v>820.65</v>
      </c>
      <c r="H364" s="15">
        <v>2461.9499999999998</v>
      </c>
      <c r="I364" s="2">
        <v>0</v>
      </c>
      <c r="J364" s="15">
        <v>2461.9499999999998</v>
      </c>
    </row>
    <row r="365" spans="1:10" x14ac:dyDescent="0.3">
      <c r="A365" s="2" t="s">
        <v>396</v>
      </c>
      <c r="B365" s="3">
        <v>45937</v>
      </c>
      <c r="C365" s="2" t="s">
        <v>11</v>
      </c>
      <c r="D365" s="2" t="s">
        <v>32</v>
      </c>
      <c r="E365" s="2" t="s">
        <v>39</v>
      </c>
      <c r="F365" s="2">
        <v>11</v>
      </c>
      <c r="G365" s="15">
        <v>797.44</v>
      </c>
      <c r="H365" s="15">
        <v>8771.84</v>
      </c>
      <c r="I365" s="2">
        <v>5</v>
      </c>
      <c r="J365" s="15">
        <v>8333.25</v>
      </c>
    </row>
    <row r="366" spans="1:10" x14ac:dyDescent="0.3">
      <c r="A366" s="2" t="s">
        <v>397</v>
      </c>
      <c r="B366" s="3">
        <v>45891</v>
      </c>
      <c r="C366" s="2" t="s">
        <v>15</v>
      </c>
      <c r="D366" s="2" t="s">
        <v>19</v>
      </c>
      <c r="E366" s="2" t="s">
        <v>37</v>
      </c>
      <c r="F366" s="2">
        <v>5</v>
      </c>
      <c r="G366" s="15">
        <v>138.59</v>
      </c>
      <c r="H366" s="15">
        <v>692.95</v>
      </c>
      <c r="I366" s="2">
        <v>0</v>
      </c>
      <c r="J366" s="15">
        <v>692.95</v>
      </c>
    </row>
    <row r="367" spans="1:10" x14ac:dyDescent="0.3">
      <c r="A367" s="2" t="s">
        <v>398</v>
      </c>
      <c r="B367" s="3">
        <v>46069</v>
      </c>
      <c r="C367" s="2" t="s">
        <v>18</v>
      </c>
      <c r="D367" s="2" t="s">
        <v>44</v>
      </c>
      <c r="E367" s="2" t="s">
        <v>13</v>
      </c>
      <c r="F367" s="2">
        <v>16</v>
      </c>
      <c r="G367" s="15">
        <v>361.36</v>
      </c>
      <c r="H367" s="15">
        <v>5781.76</v>
      </c>
      <c r="I367" s="2">
        <v>15</v>
      </c>
      <c r="J367" s="15">
        <v>4914.5</v>
      </c>
    </row>
    <row r="368" spans="1:10" x14ac:dyDescent="0.3">
      <c r="A368" s="2" t="s">
        <v>399</v>
      </c>
      <c r="B368" s="3">
        <v>46133</v>
      </c>
      <c r="C368" s="2" t="s">
        <v>15</v>
      </c>
      <c r="D368" s="2" t="s">
        <v>44</v>
      </c>
      <c r="E368" s="2" t="s">
        <v>27</v>
      </c>
      <c r="F368" s="2">
        <v>6</v>
      </c>
      <c r="G368" s="15">
        <v>563.28</v>
      </c>
      <c r="H368" s="15">
        <v>3379.68</v>
      </c>
      <c r="I368" s="2">
        <v>20</v>
      </c>
      <c r="J368" s="15">
        <v>2703.74</v>
      </c>
    </row>
    <row r="369" spans="1:10" x14ac:dyDescent="0.3">
      <c r="A369" s="2" t="s">
        <v>400</v>
      </c>
      <c r="B369" s="3">
        <v>45951</v>
      </c>
      <c r="C369" s="2" t="s">
        <v>11</v>
      </c>
      <c r="D369" s="2" t="s">
        <v>60</v>
      </c>
      <c r="E369" s="2" t="s">
        <v>27</v>
      </c>
      <c r="F369" s="2">
        <v>2</v>
      </c>
      <c r="G369" s="15">
        <v>823.9</v>
      </c>
      <c r="H369" s="15">
        <v>1647.8</v>
      </c>
      <c r="I369" s="2">
        <v>20</v>
      </c>
      <c r="J369" s="15">
        <v>1318.24</v>
      </c>
    </row>
    <row r="370" spans="1:10" x14ac:dyDescent="0.3">
      <c r="A370" s="2" t="s">
        <v>401</v>
      </c>
      <c r="B370" s="3">
        <v>45800</v>
      </c>
      <c r="C370" s="2" t="s">
        <v>18</v>
      </c>
      <c r="D370" s="2" t="s">
        <v>16</v>
      </c>
      <c r="E370" s="2" t="s">
        <v>13</v>
      </c>
      <c r="F370" s="2">
        <v>14</v>
      </c>
      <c r="G370" s="15">
        <v>105.54</v>
      </c>
      <c r="H370" s="15">
        <v>1477.56</v>
      </c>
      <c r="I370" s="2">
        <v>0</v>
      </c>
      <c r="J370" s="15">
        <v>1477.56</v>
      </c>
    </row>
    <row r="371" spans="1:10" x14ac:dyDescent="0.3">
      <c r="A371" s="2" t="s">
        <v>402</v>
      </c>
      <c r="B371" s="3">
        <v>46014</v>
      </c>
      <c r="C371" s="2" t="s">
        <v>11</v>
      </c>
      <c r="D371" s="2" t="s">
        <v>26</v>
      </c>
      <c r="E371" s="2" t="s">
        <v>76</v>
      </c>
      <c r="F371" s="2">
        <v>11</v>
      </c>
      <c r="G371" s="15">
        <v>188.73</v>
      </c>
      <c r="H371" s="15">
        <v>2076.0300000000002</v>
      </c>
      <c r="I371" s="2">
        <v>20</v>
      </c>
      <c r="J371" s="15">
        <v>1660.82</v>
      </c>
    </row>
    <row r="372" spans="1:10" x14ac:dyDescent="0.3">
      <c r="A372" s="2" t="s">
        <v>403</v>
      </c>
      <c r="B372" s="3">
        <v>46125</v>
      </c>
      <c r="C372" s="2" t="s">
        <v>15</v>
      </c>
      <c r="D372" s="2" t="s">
        <v>26</v>
      </c>
      <c r="E372" s="2" t="s">
        <v>76</v>
      </c>
      <c r="F372" s="2">
        <v>12</v>
      </c>
      <c r="G372" s="15">
        <v>853.68</v>
      </c>
      <c r="H372" s="15">
        <v>10244.16</v>
      </c>
      <c r="I372" s="2">
        <v>5</v>
      </c>
      <c r="J372" s="15">
        <v>9731.9500000000007</v>
      </c>
    </row>
    <row r="373" spans="1:10" x14ac:dyDescent="0.3">
      <c r="A373" s="2" t="s">
        <v>404</v>
      </c>
      <c r="B373" s="3">
        <v>45807</v>
      </c>
      <c r="C373" s="2" t="s">
        <v>22</v>
      </c>
      <c r="D373" s="2" t="s">
        <v>19</v>
      </c>
      <c r="E373" s="2" t="s">
        <v>24</v>
      </c>
      <c r="F373" s="2">
        <v>4</v>
      </c>
      <c r="G373" s="15">
        <v>870.52</v>
      </c>
      <c r="H373" s="15">
        <v>3482.08</v>
      </c>
      <c r="I373" s="2">
        <v>20</v>
      </c>
      <c r="J373" s="15">
        <v>2785.66</v>
      </c>
    </row>
    <row r="374" spans="1:10" x14ac:dyDescent="0.3">
      <c r="A374" s="2" t="s">
        <v>405</v>
      </c>
      <c r="B374" s="3">
        <v>45889</v>
      </c>
      <c r="C374" s="2" t="s">
        <v>22</v>
      </c>
      <c r="D374" s="2" t="s">
        <v>19</v>
      </c>
      <c r="E374" s="2" t="s">
        <v>13</v>
      </c>
      <c r="F374" s="2">
        <v>4</v>
      </c>
      <c r="G374" s="15">
        <v>455.48</v>
      </c>
      <c r="H374" s="15">
        <v>1821.92</v>
      </c>
      <c r="I374" s="2">
        <v>10</v>
      </c>
      <c r="J374" s="15">
        <v>1639.73</v>
      </c>
    </row>
    <row r="375" spans="1:10" x14ac:dyDescent="0.3">
      <c r="A375" s="2" t="s">
        <v>406</v>
      </c>
      <c r="B375" s="3">
        <v>45831</v>
      </c>
      <c r="C375" s="2" t="s">
        <v>18</v>
      </c>
      <c r="D375" s="2" t="s">
        <v>12</v>
      </c>
      <c r="E375" s="2" t="s">
        <v>30</v>
      </c>
      <c r="F375" s="2">
        <v>13</v>
      </c>
      <c r="G375" s="15">
        <v>739.77</v>
      </c>
      <c r="H375" s="15">
        <v>9617.01</v>
      </c>
      <c r="I375" s="2">
        <v>10</v>
      </c>
      <c r="J375" s="15">
        <v>8655.31</v>
      </c>
    </row>
    <row r="376" spans="1:10" x14ac:dyDescent="0.3">
      <c r="A376" s="2" t="s">
        <v>407</v>
      </c>
      <c r="B376" s="3">
        <v>46098</v>
      </c>
      <c r="C376" s="2" t="s">
        <v>11</v>
      </c>
      <c r="D376" s="2" t="s">
        <v>44</v>
      </c>
      <c r="E376" s="2" t="s">
        <v>24</v>
      </c>
      <c r="F376" s="2">
        <v>2</v>
      </c>
      <c r="G376" s="15">
        <v>421.29</v>
      </c>
      <c r="H376" s="15">
        <v>842.58</v>
      </c>
      <c r="I376" s="2">
        <v>20</v>
      </c>
      <c r="J376" s="15">
        <v>674.06</v>
      </c>
    </row>
    <row r="377" spans="1:10" x14ac:dyDescent="0.3">
      <c r="A377" s="2" t="s">
        <v>408</v>
      </c>
      <c r="B377" s="3">
        <v>45985</v>
      </c>
      <c r="C377" s="2" t="s">
        <v>22</v>
      </c>
      <c r="D377" s="2" t="s">
        <v>60</v>
      </c>
      <c r="E377" s="2" t="s">
        <v>27</v>
      </c>
      <c r="F377" s="2">
        <v>5</v>
      </c>
      <c r="G377" s="15">
        <v>981.55</v>
      </c>
      <c r="H377" s="15">
        <v>4907.75</v>
      </c>
      <c r="I377" s="2">
        <v>5</v>
      </c>
      <c r="J377" s="15">
        <v>4662.3599999999997</v>
      </c>
    </row>
    <row r="378" spans="1:10" x14ac:dyDescent="0.3">
      <c r="A378" s="2" t="s">
        <v>409</v>
      </c>
      <c r="B378" s="3">
        <v>45870</v>
      </c>
      <c r="C378" s="2" t="s">
        <v>18</v>
      </c>
      <c r="D378" s="2" t="s">
        <v>44</v>
      </c>
      <c r="E378" s="2" t="s">
        <v>24</v>
      </c>
      <c r="F378" s="2">
        <v>7</v>
      </c>
      <c r="G378" s="15">
        <v>918.01</v>
      </c>
      <c r="H378" s="15">
        <v>6426.07</v>
      </c>
      <c r="I378" s="2">
        <v>20</v>
      </c>
      <c r="J378" s="15">
        <v>5140.8599999999997</v>
      </c>
    </row>
    <row r="379" spans="1:10" x14ac:dyDescent="0.3">
      <c r="A379" s="2" t="s">
        <v>410</v>
      </c>
      <c r="B379" s="3">
        <v>46116</v>
      </c>
      <c r="C379" s="2" t="s">
        <v>15</v>
      </c>
      <c r="D379" s="2" t="s">
        <v>12</v>
      </c>
      <c r="E379" s="2" t="s">
        <v>27</v>
      </c>
      <c r="F379" s="2">
        <v>13</v>
      </c>
      <c r="G379" s="15">
        <v>840.29</v>
      </c>
      <c r="H379" s="15">
        <v>10923.77</v>
      </c>
      <c r="I379" s="2">
        <v>20</v>
      </c>
      <c r="J379" s="15">
        <v>8739.02</v>
      </c>
    </row>
    <row r="380" spans="1:10" x14ac:dyDescent="0.3">
      <c r="A380" s="2" t="s">
        <v>411</v>
      </c>
      <c r="B380" s="3">
        <v>46161</v>
      </c>
      <c r="C380" s="2" t="s">
        <v>15</v>
      </c>
      <c r="D380" s="2" t="s">
        <v>44</v>
      </c>
      <c r="E380" s="2" t="s">
        <v>37</v>
      </c>
      <c r="F380" s="2">
        <v>6</v>
      </c>
      <c r="G380" s="15">
        <v>184.47</v>
      </c>
      <c r="H380" s="15">
        <v>1106.82</v>
      </c>
      <c r="I380" s="2">
        <v>20</v>
      </c>
      <c r="J380" s="15">
        <v>885.46</v>
      </c>
    </row>
    <row r="381" spans="1:10" x14ac:dyDescent="0.3">
      <c r="A381" s="2" t="s">
        <v>412</v>
      </c>
      <c r="B381" s="3">
        <v>46010</v>
      </c>
      <c r="C381" s="2" t="s">
        <v>18</v>
      </c>
      <c r="D381" s="2" t="s">
        <v>32</v>
      </c>
      <c r="E381" s="2" t="s">
        <v>13</v>
      </c>
      <c r="F381" s="2">
        <v>11</v>
      </c>
      <c r="G381" s="15">
        <v>308.82</v>
      </c>
      <c r="H381" s="15">
        <v>3397.02</v>
      </c>
      <c r="I381" s="2">
        <v>20</v>
      </c>
      <c r="J381" s="15">
        <v>2717.62</v>
      </c>
    </row>
    <row r="382" spans="1:10" x14ac:dyDescent="0.3">
      <c r="A382" s="2" t="s">
        <v>413</v>
      </c>
      <c r="B382" s="3">
        <v>46079</v>
      </c>
      <c r="C382" s="2" t="s">
        <v>18</v>
      </c>
      <c r="D382" s="2" t="s">
        <v>16</v>
      </c>
      <c r="E382" s="2" t="s">
        <v>30</v>
      </c>
      <c r="F382" s="2">
        <v>13</v>
      </c>
      <c r="G382" s="15">
        <v>290.2</v>
      </c>
      <c r="H382" s="15">
        <v>3772.6</v>
      </c>
      <c r="I382" s="2">
        <v>20</v>
      </c>
      <c r="J382" s="15">
        <v>3018.08</v>
      </c>
    </row>
    <row r="383" spans="1:10" x14ac:dyDescent="0.3">
      <c r="A383" s="2" t="s">
        <v>414</v>
      </c>
      <c r="B383" s="3">
        <v>45997</v>
      </c>
      <c r="C383" s="2" t="s">
        <v>15</v>
      </c>
      <c r="D383" s="2" t="s">
        <v>52</v>
      </c>
      <c r="E383" s="2" t="s">
        <v>87</v>
      </c>
      <c r="F383" s="2">
        <v>16</v>
      </c>
      <c r="G383" s="15">
        <v>636.79</v>
      </c>
      <c r="H383" s="15">
        <v>10188.64</v>
      </c>
      <c r="I383" s="2">
        <v>5</v>
      </c>
      <c r="J383" s="15">
        <v>9679.2099999999991</v>
      </c>
    </row>
    <row r="384" spans="1:10" x14ac:dyDescent="0.3">
      <c r="A384" s="2" t="s">
        <v>415</v>
      </c>
      <c r="B384" s="3">
        <v>46065</v>
      </c>
      <c r="C384" s="2" t="s">
        <v>11</v>
      </c>
      <c r="D384" s="2" t="s">
        <v>23</v>
      </c>
      <c r="E384" s="2" t="s">
        <v>27</v>
      </c>
      <c r="F384" s="2">
        <v>9</v>
      </c>
      <c r="G384" s="15">
        <v>223.82</v>
      </c>
      <c r="H384" s="15">
        <v>2014.38</v>
      </c>
      <c r="I384" s="2">
        <v>10</v>
      </c>
      <c r="J384" s="15">
        <v>1812.94</v>
      </c>
    </row>
    <row r="385" spans="1:10" x14ac:dyDescent="0.3">
      <c r="A385" s="2" t="s">
        <v>416</v>
      </c>
      <c r="B385" s="3">
        <v>45936</v>
      </c>
      <c r="C385" s="2" t="s">
        <v>22</v>
      </c>
      <c r="D385" s="2" t="s">
        <v>16</v>
      </c>
      <c r="E385" s="2" t="s">
        <v>27</v>
      </c>
      <c r="F385" s="2">
        <v>13</v>
      </c>
      <c r="G385" s="15">
        <v>355.28</v>
      </c>
      <c r="H385" s="15">
        <v>4618.6400000000003</v>
      </c>
      <c r="I385" s="2">
        <v>10</v>
      </c>
      <c r="J385" s="15">
        <v>4156.78</v>
      </c>
    </row>
    <row r="386" spans="1:10" x14ac:dyDescent="0.3">
      <c r="A386" s="2" t="s">
        <v>417</v>
      </c>
      <c r="B386" s="3">
        <v>45809</v>
      </c>
      <c r="C386" s="2" t="s">
        <v>18</v>
      </c>
      <c r="D386" s="2" t="s">
        <v>60</v>
      </c>
      <c r="E386" s="2" t="s">
        <v>30</v>
      </c>
      <c r="F386" s="2">
        <v>16</v>
      </c>
      <c r="G386" s="15">
        <v>120.81</v>
      </c>
      <c r="H386" s="15">
        <v>1932.96</v>
      </c>
      <c r="I386" s="2">
        <v>20</v>
      </c>
      <c r="J386" s="15">
        <v>1546.37</v>
      </c>
    </row>
    <row r="387" spans="1:10" x14ac:dyDescent="0.3">
      <c r="A387" s="2" t="s">
        <v>418</v>
      </c>
      <c r="B387" s="3">
        <v>45893</v>
      </c>
      <c r="C387" s="2" t="s">
        <v>18</v>
      </c>
      <c r="D387" s="2" t="s">
        <v>60</v>
      </c>
      <c r="E387" s="2" t="s">
        <v>24</v>
      </c>
      <c r="F387" s="2">
        <v>5</v>
      </c>
      <c r="G387" s="15">
        <v>287.85000000000002</v>
      </c>
      <c r="H387" s="15">
        <v>1439.25</v>
      </c>
      <c r="I387" s="2">
        <v>10</v>
      </c>
      <c r="J387" s="15">
        <v>1295.33</v>
      </c>
    </row>
    <row r="388" spans="1:10" x14ac:dyDescent="0.3">
      <c r="A388" s="2" t="s">
        <v>419</v>
      </c>
      <c r="B388" s="3">
        <v>45953</v>
      </c>
      <c r="C388" s="2" t="s">
        <v>22</v>
      </c>
      <c r="D388" s="2" t="s">
        <v>26</v>
      </c>
      <c r="E388" s="2" t="s">
        <v>24</v>
      </c>
      <c r="F388" s="2">
        <v>13</v>
      </c>
      <c r="G388" s="15">
        <v>729.29</v>
      </c>
      <c r="H388" s="15">
        <v>9480.77</v>
      </c>
      <c r="I388" s="2">
        <v>10</v>
      </c>
      <c r="J388" s="15">
        <v>8532.69</v>
      </c>
    </row>
    <row r="389" spans="1:10" x14ac:dyDescent="0.3">
      <c r="A389" s="2" t="s">
        <v>420</v>
      </c>
      <c r="B389" s="3">
        <v>46065</v>
      </c>
      <c r="C389" s="2" t="s">
        <v>15</v>
      </c>
      <c r="D389" s="2" t="s">
        <v>29</v>
      </c>
      <c r="E389" s="2" t="s">
        <v>27</v>
      </c>
      <c r="F389" s="2">
        <v>15</v>
      </c>
      <c r="G389" s="15">
        <v>723.92</v>
      </c>
      <c r="H389" s="15">
        <v>10858.8</v>
      </c>
      <c r="I389" s="2">
        <v>0</v>
      </c>
      <c r="J389" s="15">
        <v>10858.8</v>
      </c>
    </row>
    <row r="390" spans="1:10" x14ac:dyDescent="0.3">
      <c r="A390" s="2" t="s">
        <v>421</v>
      </c>
      <c r="B390" s="3">
        <v>45985</v>
      </c>
      <c r="C390" s="2" t="s">
        <v>22</v>
      </c>
      <c r="D390" s="2" t="s">
        <v>44</v>
      </c>
      <c r="E390" s="2" t="s">
        <v>33</v>
      </c>
      <c r="F390" s="2">
        <v>2</v>
      </c>
      <c r="G390" s="15">
        <v>369.84</v>
      </c>
      <c r="H390" s="15">
        <v>739.68</v>
      </c>
      <c r="I390" s="2">
        <v>10</v>
      </c>
      <c r="J390" s="15">
        <v>665.71</v>
      </c>
    </row>
    <row r="391" spans="1:10" x14ac:dyDescent="0.3">
      <c r="A391" s="2" t="s">
        <v>422</v>
      </c>
      <c r="B391" s="3">
        <v>45852</v>
      </c>
      <c r="C391" s="2" t="s">
        <v>11</v>
      </c>
      <c r="D391" s="2" t="s">
        <v>26</v>
      </c>
      <c r="E391" s="2" t="s">
        <v>27</v>
      </c>
      <c r="F391" s="2">
        <v>10</v>
      </c>
      <c r="G391" s="15">
        <v>78.489999999999995</v>
      </c>
      <c r="H391" s="15">
        <v>784.9</v>
      </c>
      <c r="I391" s="2">
        <v>20</v>
      </c>
      <c r="J391" s="15">
        <v>627.91999999999996</v>
      </c>
    </row>
    <row r="392" spans="1:10" x14ac:dyDescent="0.3">
      <c r="A392" s="2" t="s">
        <v>423</v>
      </c>
      <c r="B392" s="3">
        <v>46108</v>
      </c>
      <c r="C392" s="2" t="s">
        <v>22</v>
      </c>
      <c r="D392" s="2" t="s">
        <v>12</v>
      </c>
      <c r="E392" s="2" t="s">
        <v>76</v>
      </c>
      <c r="F392" s="2">
        <v>3</v>
      </c>
      <c r="G392" s="15">
        <v>770.92</v>
      </c>
      <c r="H392" s="15">
        <v>2312.7600000000002</v>
      </c>
      <c r="I392" s="2">
        <v>0</v>
      </c>
      <c r="J392" s="15">
        <v>2312.7600000000002</v>
      </c>
    </row>
    <row r="393" spans="1:10" x14ac:dyDescent="0.3">
      <c r="A393" s="2" t="s">
        <v>424</v>
      </c>
      <c r="B393" s="3">
        <v>46065</v>
      </c>
      <c r="C393" s="2" t="s">
        <v>22</v>
      </c>
      <c r="D393" s="2" t="s">
        <v>60</v>
      </c>
      <c r="E393" s="2" t="s">
        <v>33</v>
      </c>
      <c r="F393" s="2">
        <v>2</v>
      </c>
      <c r="G393" s="15">
        <v>117.31</v>
      </c>
      <c r="H393" s="15">
        <v>234.62</v>
      </c>
      <c r="I393" s="2">
        <v>20</v>
      </c>
      <c r="J393" s="15">
        <v>187.7</v>
      </c>
    </row>
    <row r="394" spans="1:10" x14ac:dyDescent="0.3">
      <c r="A394" s="2" t="s">
        <v>425</v>
      </c>
      <c r="B394" s="3">
        <v>45926</v>
      </c>
      <c r="C394" s="2" t="s">
        <v>11</v>
      </c>
      <c r="D394" s="2" t="s">
        <v>16</v>
      </c>
      <c r="E394" s="2" t="s">
        <v>37</v>
      </c>
      <c r="F394" s="2">
        <v>10</v>
      </c>
      <c r="G394" s="15">
        <v>383.87</v>
      </c>
      <c r="H394" s="15">
        <v>3838.7</v>
      </c>
      <c r="I394" s="2">
        <v>10</v>
      </c>
      <c r="J394" s="15">
        <v>3454.83</v>
      </c>
    </row>
    <row r="395" spans="1:10" x14ac:dyDescent="0.3">
      <c r="A395" s="2" t="s">
        <v>426</v>
      </c>
      <c r="B395" s="3">
        <v>45828</v>
      </c>
      <c r="C395" s="2" t="s">
        <v>11</v>
      </c>
      <c r="D395" s="2" t="s">
        <v>19</v>
      </c>
      <c r="E395" s="2" t="s">
        <v>13</v>
      </c>
      <c r="F395" s="2">
        <v>9</v>
      </c>
      <c r="G395" s="15">
        <v>780.14</v>
      </c>
      <c r="H395" s="15">
        <v>7021.26</v>
      </c>
      <c r="I395" s="2">
        <v>0</v>
      </c>
      <c r="J395" s="15">
        <v>7021.26</v>
      </c>
    </row>
    <row r="396" spans="1:10" x14ac:dyDescent="0.3">
      <c r="A396" s="2" t="s">
        <v>427</v>
      </c>
      <c r="B396" s="3">
        <v>45834</v>
      </c>
      <c r="C396" s="2" t="s">
        <v>15</v>
      </c>
      <c r="D396" s="2" t="s">
        <v>19</v>
      </c>
      <c r="E396" s="2" t="s">
        <v>37</v>
      </c>
      <c r="F396" s="2">
        <v>6</v>
      </c>
      <c r="G396" s="15">
        <v>416.34</v>
      </c>
      <c r="H396" s="15">
        <v>2498.04</v>
      </c>
      <c r="I396" s="2">
        <v>0</v>
      </c>
      <c r="J396" s="15">
        <v>2498.04</v>
      </c>
    </row>
    <row r="397" spans="1:10" x14ac:dyDescent="0.3">
      <c r="A397" s="2" t="s">
        <v>428</v>
      </c>
      <c r="B397" s="3">
        <v>46093</v>
      </c>
      <c r="C397" s="2" t="s">
        <v>15</v>
      </c>
      <c r="D397" s="2" t="s">
        <v>16</v>
      </c>
      <c r="E397" s="2" t="s">
        <v>20</v>
      </c>
      <c r="F397" s="2">
        <v>18</v>
      </c>
      <c r="G397" s="15">
        <v>837.8</v>
      </c>
      <c r="H397" s="15">
        <v>15080.4</v>
      </c>
      <c r="I397" s="2">
        <v>5</v>
      </c>
      <c r="J397" s="15">
        <v>14326.38</v>
      </c>
    </row>
    <row r="398" spans="1:10" x14ac:dyDescent="0.3">
      <c r="A398" s="2" t="s">
        <v>429</v>
      </c>
      <c r="B398" s="3">
        <v>46066</v>
      </c>
      <c r="C398" s="2" t="s">
        <v>15</v>
      </c>
      <c r="D398" s="2" t="s">
        <v>16</v>
      </c>
      <c r="E398" s="2" t="s">
        <v>39</v>
      </c>
      <c r="F398" s="2">
        <v>9</v>
      </c>
      <c r="G398" s="15">
        <v>484.28</v>
      </c>
      <c r="H398" s="15">
        <v>4358.5200000000004</v>
      </c>
      <c r="I398" s="2">
        <v>10</v>
      </c>
      <c r="J398" s="15">
        <v>3922.67</v>
      </c>
    </row>
    <row r="399" spans="1:10" x14ac:dyDescent="0.3">
      <c r="A399" s="2" t="s">
        <v>430</v>
      </c>
      <c r="B399" s="3">
        <v>45858</v>
      </c>
      <c r="C399" s="2" t="s">
        <v>15</v>
      </c>
      <c r="D399" s="2" t="s">
        <v>19</v>
      </c>
      <c r="E399" s="2" t="s">
        <v>39</v>
      </c>
      <c r="F399" s="2">
        <v>3</v>
      </c>
      <c r="G399" s="15">
        <v>473.23</v>
      </c>
      <c r="H399" s="15">
        <v>1419.69</v>
      </c>
      <c r="I399" s="2">
        <v>0</v>
      </c>
      <c r="J399" s="15">
        <v>1419.69</v>
      </c>
    </row>
    <row r="400" spans="1:10" x14ac:dyDescent="0.3">
      <c r="A400" s="2" t="s">
        <v>431</v>
      </c>
      <c r="B400" s="3">
        <v>46132</v>
      </c>
      <c r="C400" s="2" t="s">
        <v>15</v>
      </c>
      <c r="D400" s="2" t="s">
        <v>44</v>
      </c>
      <c r="E400" s="2" t="s">
        <v>39</v>
      </c>
      <c r="F400" s="2">
        <v>17</v>
      </c>
      <c r="G400" s="15">
        <v>85.68</v>
      </c>
      <c r="H400" s="15">
        <v>1456.56</v>
      </c>
      <c r="I400" s="2">
        <v>0</v>
      </c>
      <c r="J400" s="15">
        <v>1456.56</v>
      </c>
    </row>
    <row r="401" spans="1:10" x14ac:dyDescent="0.3">
      <c r="A401" s="2" t="s">
        <v>432</v>
      </c>
      <c r="B401" s="3">
        <v>45889</v>
      </c>
      <c r="C401" s="2" t="s">
        <v>15</v>
      </c>
      <c r="D401" s="2" t="s">
        <v>26</v>
      </c>
      <c r="E401" s="2" t="s">
        <v>13</v>
      </c>
      <c r="F401" s="2">
        <v>17</v>
      </c>
      <c r="G401" s="15">
        <v>761.86</v>
      </c>
      <c r="H401" s="15">
        <v>12951.62</v>
      </c>
      <c r="I401" s="2">
        <v>10</v>
      </c>
      <c r="J401" s="15">
        <v>11656.46</v>
      </c>
    </row>
    <row r="402" spans="1:10" x14ac:dyDescent="0.3">
      <c r="A402" s="2" t="s">
        <v>433</v>
      </c>
      <c r="B402" s="3">
        <v>46162</v>
      </c>
      <c r="C402" s="2" t="s">
        <v>22</v>
      </c>
      <c r="D402" s="2" t="s">
        <v>29</v>
      </c>
      <c r="E402" s="2" t="s">
        <v>76</v>
      </c>
      <c r="F402" s="2">
        <v>7</v>
      </c>
      <c r="G402" s="15">
        <v>883.02</v>
      </c>
      <c r="H402" s="15">
        <v>6181.14</v>
      </c>
      <c r="I402" s="2">
        <v>10</v>
      </c>
      <c r="J402" s="15">
        <v>5563.03</v>
      </c>
    </row>
    <row r="403" spans="1:10" x14ac:dyDescent="0.3">
      <c r="A403" s="2" t="s">
        <v>434</v>
      </c>
      <c r="B403" s="3">
        <v>46137</v>
      </c>
      <c r="C403" s="2" t="s">
        <v>22</v>
      </c>
      <c r="D403" s="2" t="s">
        <v>60</v>
      </c>
      <c r="E403" s="2" t="s">
        <v>39</v>
      </c>
      <c r="F403" s="2">
        <v>1</v>
      </c>
      <c r="G403" s="15">
        <v>817.92</v>
      </c>
      <c r="H403" s="15">
        <v>817.92</v>
      </c>
      <c r="I403" s="2">
        <v>0</v>
      </c>
      <c r="J403" s="15">
        <v>817.92</v>
      </c>
    </row>
    <row r="404" spans="1:10" x14ac:dyDescent="0.3">
      <c r="A404" s="2" t="s">
        <v>435</v>
      </c>
      <c r="B404" s="3">
        <v>45900</v>
      </c>
      <c r="C404" s="2" t="s">
        <v>11</v>
      </c>
      <c r="D404" s="2" t="s">
        <v>52</v>
      </c>
      <c r="E404" s="2" t="s">
        <v>37</v>
      </c>
      <c r="F404" s="2">
        <v>14</v>
      </c>
      <c r="G404" s="15">
        <v>667.29</v>
      </c>
      <c r="H404" s="15">
        <v>9342.06</v>
      </c>
      <c r="I404" s="2">
        <v>20</v>
      </c>
      <c r="J404" s="15">
        <v>7473.65</v>
      </c>
    </row>
    <row r="405" spans="1:10" x14ac:dyDescent="0.3">
      <c r="A405" s="2" t="s">
        <v>436</v>
      </c>
      <c r="B405" s="3">
        <v>45957</v>
      </c>
      <c r="C405" s="2" t="s">
        <v>22</v>
      </c>
      <c r="D405" s="2" t="s">
        <v>52</v>
      </c>
      <c r="E405" s="2" t="s">
        <v>76</v>
      </c>
      <c r="F405" s="2">
        <v>15</v>
      </c>
      <c r="G405" s="15">
        <v>690.43</v>
      </c>
      <c r="H405" s="15">
        <v>10356.450000000001</v>
      </c>
      <c r="I405" s="2">
        <v>20</v>
      </c>
      <c r="J405" s="15">
        <v>8285.16</v>
      </c>
    </row>
    <row r="406" spans="1:10" x14ac:dyDescent="0.3">
      <c r="A406" s="2" t="s">
        <v>437</v>
      </c>
      <c r="B406" s="3">
        <v>46131</v>
      </c>
      <c r="C406" s="2" t="s">
        <v>22</v>
      </c>
      <c r="D406" s="2" t="s">
        <v>52</v>
      </c>
      <c r="E406" s="2" t="s">
        <v>30</v>
      </c>
      <c r="F406" s="2">
        <v>14</v>
      </c>
      <c r="G406" s="15">
        <v>400.45</v>
      </c>
      <c r="H406" s="15">
        <v>5606.3</v>
      </c>
      <c r="I406" s="2">
        <v>10</v>
      </c>
      <c r="J406" s="15">
        <v>5045.67</v>
      </c>
    </row>
    <row r="407" spans="1:10" x14ac:dyDescent="0.3">
      <c r="A407" s="2" t="s">
        <v>438</v>
      </c>
      <c r="B407" s="3">
        <v>45994</v>
      </c>
      <c r="C407" s="2" t="s">
        <v>11</v>
      </c>
      <c r="D407" s="2" t="s">
        <v>32</v>
      </c>
      <c r="E407" s="2" t="s">
        <v>27</v>
      </c>
      <c r="F407" s="2">
        <v>14</v>
      </c>
      <c r="G407" s="15">
        <v>633.38</v>
      </c>
      <c r="H407" s="15">
        <v>8867.32</v>
      </c>
      <c r="I407" s="2">
        <v>10</v>
      </c>
      <c r="J407" s="15">
        <v>7980.59</v>
      </c>
    </row>
    <row r="408" spans="1:10" x14ac:dyDescent="0.3">
      <c r="A408" s="2" t="s">
        <v>439</v>
      </c>
      <c r="B408" s="3">
        <v>45837</v>
      </c>
      <c r="C408" s="2" t="s">
        <v>22</v>
      </c>
      <c r="D408" s="2" t="s">
        <v>29</v>
      </c>
      <c r="E408" s="2" t="s">
        <v>76</v>
      </c>
      <c r="F408" s="2">
        <v>8</v>
      </c>
      <c r="G408" s="15">
        <v>422.84</v>
      </c>
      <c r="H408" s="15">
        <v>3382.72</v>
      </c>
      <c r="I408" s="2">
        <v>15</v>
      </c>
      <c r="J408" s="15">
        <v>2875.31</v>
      </c>
    </row>
    <row r="409" spans="1:10" x14ac:dyDescent="0.3">
      <c r="A409" s="2" t="s">
        <v>440</v>
      </c>
      <c r="B409" s="3">
        <v>46078</v>
      </c>
      <c r="C409" s="2" t="s">
        <v>22</v>
      </c>
      <c r="D409" s="2" t="s">
        <v>19</v>
      </c>
      <c r="E409" s="2" t="s">
        <v>39</v>
      </c>
      <c r="F409" s="2">
        <v>6</v>
      </c>
      <c r="G409" s="15">
        <v>182.09</v>
      </c>
      <c r="H409" s="15">
        <v>1092.54</v>
      </c>
      <c r="I409" s="2">
        <v>20</v>
      </c>
      <c r="J409" s="15">
        <v>874.03</v>
      </c>
    </row>
    <row r="410" spans="1:10" x14ac:dyDescent="0.3">
      <c r="A410" s="2" t="s">
        <v>441</v>
      </c>
      <c r="B410" s="3">
        <v>46153</v>
      </c>
      <c r="C410" s="2" t="s">
        <v>11</v>
      </c>
      <c r="D410" s="2" t="s">
        <v>60</v>
      </c>
      <c r="E410" s="2" t="s">
        <v>27</v>
      </c>
      <c r="F410" s="2">
        <v>17</v>
      </c>
      <c r="G410" s="15">
        <v>628.9</v>
      </c>
      <c r="H410" s="15">
        <v>10691.3</v>
      </c>
      <c r="I410" s="2">
        <v>20</v>
      </c>
      <c r="J410" s="15">
        <v>8553.0400000000009</v>
      </c>
    </row>
    <row r="411" spans="1:10" x14ac:dyDescent="0.3">
      <c r="A411" s="2" t="s">
        <v>442</v>
      </c>
      <c r="B411" s="3">
        <v>45803</v>
      </c>
      <c r="C411" s="2" t="s">
        <v>18</v>
      </c>
      <c r="D411" s="2" t="s">
        <v>60</v>
      </c>
      <c r="E411" s="2" t="s">
        <v>30</v>
      </c>
      <c r="F411" s="2">
        <v>6</v>
      </c>
      <c r="G411" s="15">
        <v>601.4</v>
      </c>
      <c r="H411" s="15">
        <v>3608.4</v>
      </c>
      <c r="I411" s="2">
        <v>15</v>
      </c>
      <c r="J411" s="15">
        <v>3067.14</v>
      </c>
    </row>
    <row r="412" spans="1:10" x14ac:dyDescent="0.3">
      <c r="A412" s="2" t="s">
        <v>443</v>
      </c>
      <c r="B412" s="3">
        <v>46037</v>
      </c>
      <c r="C412" s="2" t="s">
        <v>22</v>
      </c>
      <c r="D412" s="2" t="s">
        <v>19</v>
      </c>
      <c r="E412" s="2" t="s">
        <v>13</v>
      </c>
      <c r="F412" s="2">
        <v>7</v>
      </c>
      <c r="G412" s="15">
        <v>83.81</v>
      </c>
      <c r="H412" s="15">
        <v>586.66999999999996</v>
      </c>
      <c r="I412" s="2">
        <v>5</v>
      </c>
      <c r="J412" s="15">
        <v>557.34</v>
      </c>
    </row>
    <row r="413" spans="1:10" x14ac:dyDescent="0.3">
      <c r="A413" s="2" t="s">
        <v>444</v>
      </c>
      <c r="B413" s="3">
        <v>45955</v>
      </c>
      <c r="C413" s="2" t="s">
        <v>22</v>
      </c>
      <c r="D413" s="2" t="s">
        <v>19</v>
      </c>
      <c r="E413" s="2" t="s">
        <v>76</v>
      </c>
      <c r="F413" s="2">
        <v>2</v>
      </c>
      <c r="G413" s="15">
        <v>976.61</v>
      </c>
      <c r="H413" s="15">
        <v>1953.22</v>
      </c>
      <c r="I413" s="2">
        <v>15</v>
      </c>
      <c r="J413" s="15">
        <v>1660.24</v>
      </c>
    </row>
    <row r="414" spans="1:10" x14ac:dyDescent="0.3">
      <c r="A414" s="2" t="s">
        <v>445</v>
      </c>
      <c r="B414" s="3">
        <v>45960</v>
      </c>
      <c r="C414" s="2" t="s">
        <v>11</v>
      </c>
      <c r="D414" s="2" t="s">
        <v>16</v>
      </c>
      <c r="E414" s="2" t="s">
        <v>30</v>
      </c>
      <c r="F414" s="2">
        <v>10</v>
      </c>
      <c r="G414" s="15">
        <v>631.05999999999995</v>
      </c>
      <c r="H414" s="15">
        <v>6310.6</v>
      </c>
      <c r="I414" s="2">
        <v>10</v>
      </c>
      <c r="J414" s="15">
        <v>5679.54</v>
      </c>
    </row>
    <row r="415" spans="1:10" x14ac:dyDescent="0.3">
      <c r="A415" s="2" t="s">
        <v>446</v>
      </c>
      <c r="B415" s="3">
        <v>45806</v>
      </c>
      <c r="C415" s="2" t="s">
        <v>22</v>
      </c>
      <c r="D415" s="2" t="s">
        <v>19</v>
      </c>
      <c r="E415" s="2" t="s">
        <v>24</v>
      </c>
      <c r="F415" s="2">
        <v>14</v>
      </c>
      <c r="G415" s="15">
        <v>127.72</v>
      </c>
      <c r="H415" s="15">
        <v>1788.08</v>
      </c>
      <c r="I415" s="2">
        <v>0</v>
      </c>
      <c r="J415" s="15">
        <v>1788.08</v>
      </c>
    </row>
    <row r="416" spans="1:10" x14ac:dyDescent="0.3">
      <c r="A416" s="2" t="s">
        <v>447</v>
      </c>
      <c r="B416" s="3">
        <v>46141</v>
      </c>
      <c r="C416" s="2" t="s">
        <v>15</v>
      </c>
      <c r="D416" s="2" t="s">
        <v>23</v>
      </c>
      <c r="E416" s="2" t="s">
        <v>37</v>
      </c>
      <c r="F416" s="2">
        <v>10</v>
      </c>
      <c r="G416" s="15">
        <v>506.7</v>
      </c>
      <c r="H416" s="15">
        <v>5067</v>
      </c>
      <c r="I416" s="2">
        <v>20</v>
      </c>
      <c r="J416" s="15">
        <v>4053.6</v>
      </c>
    </row>
    <row r="417" spans="1:10" x14ac:dyDescent="0.3">
      <c r="A417" s="2" t="s">
        <v>448</v>
      </c>
      <c r="B417" s="3">
        <v>45888</v>
      </c>
      <c r="C417" s="2" t="s">
        <v>22</v>
      </c>
      <c r="D417" s="2" t="s">
        <v>52</v>
      </c>
      <c r="E417" s="2" t="s">
        <v>24</v>
      </c>
      <c r="F417" s="2">
        <v>14</v>
      </c>
      <c r="G417" s="15">
        <v>213.6</v>
      </c>
      <c r="H417" s="15">
        <v>2990.4</v>
      </c>
      <c r="I417" s="2">
        <v>5</v>
      </c>
      <c r="J417" s="15">
        <v>2840.88</v>
      </c>
    </row>
    <row r="418" spans="1:10" x14ac:dyDescent="0.3">
      <c r="A418" s="2" t="s">
        <v>449</v>
      </c>
      <c r="B418" s="3">
        <v>45876</v>
      </c>
      <c r="C418" s="2" t="s">
        <v>15</v>
      </c>
      <c r="D418" s="2" t="s">
        <v>19</v>
      </c>
      <c r="E418" s="2" t="s">
        <v>33</v>
      </c>
      <c r="F418" s="2">
        <v>2</v>
      </c>
      <c r="G418" s="15">
        <v>969.88</v>
      </c>
      <c r="H418" s="15">
        <v>1939.76</v>
      </c>
      <c r="I418" s="2">
        <v>20</v>
      </c>
      <c r="J418" s="15">
        <v>1551.81</v>
      </c>
    </row>
    <row r="419" spans="1:10" x14ac:dyDescent="0.3">
      <c r="A419" s="2" t="s">
        <v>450</v>
      </c>
      <c r="B419" s="3">
        <v>45973</v>
      </c>
      <c r="C419" s="2" t="s">
        <v>15</v>
      </c>
      <c r="D419" s="2" t="s">
        <v>19</v>
      </c>
      <c r="E419" s="2" t="s">
        <v>24</v>
      </c>
      <c r="F419" s="2">
        <v>15</v>
      </c>
      <c r="G419" s="15">
        <v>132.99</v>
      </c>
      <c r="H419" s="15">
        <v>1994.85</v>
      </c>
      <c r="I419" s="2">
        <v>5</v>
      </c>
      <c r="J419" s="15">
        <v>1895.11</v>
      </c>
    </row>
    <row r="420" spans="1:10" x14ac:dyDescent="0.3">
      <c r="A420" s="2" t="s">
        <v>451</v>
      </c>
      <c r="B420" s="3">
        <v>46063</v>
      </c>
      <c r="C420" s="2" t="s">
        <v>18</v>
      </c>
      <c r="D420" s="2" t="s">
        <v>29</v>
      </c>
      <c r="E420" s="2" t="s">
        <v>13</v>
      </c>
      <c r="F420" s="2">
        <v>2</v>
      </c>
      <c r="G420" s="15">
        <v>967.52</v>
      </c>
      <c r="H420" s="15">
        <v>1935.04</v>
      </c>
      <c r="I420" s="2">
        <v>15</v>
      </c>
      <c r="J420" s="15">
        <v>1644.78</v>
      </c>
    </row>
    <row r="421" spans="1:10" x14ac:dyDescent="0.3">
      <c r="A421" s="2" t="s">
        <v>452</v>
      </c>
      <c r="B421" s="3">
        <v>45964</v>
      </c>
      <c r="C421" s="2" t="s">
        <v>22</v>
      </c>
      <c r="D421" s="2" t="s">
        <v>44</v>
      </c>
      <c r="E421" s="2" t="s">
        <v>37</v>
      </c>
      <c r="F421" s="2">
        <v>14</v>
      </c>
      <c r="G421" s="15">
        <v>709.1</v>
      </c>
      <c r="H421" s="15">
        <v>9927.4</v>
      </c>
      <c r="I421" s="2">
        <v>20</v>
      </c>
      <c r="J421" s="15">
        <v>7941.92</v>
      </c>
    </row>
    <row r="422" spans="1:10" x14ac:dyDescent="0.3">
      <c r="A422" s="2" t="s">
        <v>453</v>
      </c>
      <c r="B422" s="3">
        <v>45920</v>
      </c>
      <c r="C422" s="2" t="s">
        <v>15</v>
      </c>
      <c r="D422" s="2" t="s">
        <v>44</v>
      </c>
      <c r="E422" s="2" t="s">
        <v>30</v>
      </c>
      <c r="F422" s="2">
        <v>10</v>
      </c>
      <c r="G422" s="15">
        <v>870.38</v>
      </c>
      <c r="H422" s="15">
        <v>8703.7999999999993</v>
      </c>
      <c r="I422" s="2">
        <v>5</v>
      </c>
      <c r="J422" s="15">
        <v>8268.61</v>
      </c>
    </row>
    <row r="423" spans="1:10" x14ac:dyDescent="0.3">
      <c r="A423" s="2" t="s">
        <v>454</v>
      </c>
      <c r="B423" s="3">
        <v>46135</v>
      </c>
      <c r="C423" s="2" t="s">
        <v>22</v>
      </c>
      <c r="D423" s="2" t="s">
        <v>29</v>
      </c>
      <c r="E423" s="2" t="s">
        <v>20</v>
      </c>
      <c r="F423" s="2">
        <v>18</v>
      </c>
      <c r="G423" s="15">
        <v>971.69</v>
      </c>
      <c r="H423" s="15">
        <v>17490.419999999998</v>
      </c>
      <c r="I423" s="2">
        <v>0</v>
      </c>
      <c r="J423" s="15">
        <v>17490.419999999998</v>
      </c>
    </row>
    <row r="424" spans="1:10" x14ac:dyDescent="0.3">
      <c r="A424" s="2" t="s">
        <v>455</v>
      </c>
      <c r="B424" s="3">
        <v>46031</v>
      </c>
      <c r="C424" s="2" t="s">
        <v>11</v>
      </c>
      <c r="D424" s="2" t="s">
        <v>60</v>
      </c>
      <c r="E424" s="2" t="s">
        <v>24</v>
      </c>
      <c r="F424" s="2">
        <v>12</v>
      </c>
      <c r="G424" s="15">
        <v>221.98</v>
      </c>
      <c r="H424" s="15">
        <v>2663.76</v>
      </c>
      <c r="I424" s="2">
        <v>0</v>
      </c>
      <c r="J424" s="15">
        <v>2663.76</v>
      </c>
    </row>
    <row r="425" spans="1:10" x14ac:dyDescent="0.3">
      <c r="A425" s="2" t="s">
        <v>456</v>
      </c>
      <c r="B425" s="3">
        <v>45982</v>
      </c>
      <c r="C425" s="2" t="s">
        <v>15</v>
      </c>
      <c r="D425" s="2" t="s">
        <v>19</v>
      </c>
      <c r="E425" s="2" t="s">
        <v>39</v>
      </c>
      <c r="F425" s="2">
        <v>8</v>
      </c>
      <c r="G425" s="15">
        <v>494.11</v>
      </c>
      <c r="H425" s="15">
        <v>3952.88</v>
      </c>
      <c r="I425" s="2">
        <v>5</v>
      </c>
      <c r="J425" s="15">
        <v>3755.24</v>
      </c>
    </row>
    <row r="426" spans="1:10" x14ac:dyDescent="0.3">
      <c r="A426" s="2" t="s">
        <v>457</v>
      </c>
      <c r="B426" s="3">
        <v>45932</v>
      </c>
      <c r="C426" s="2" t="s">
        <v>15</v>
      </c>
      <c r="D426" s="2" t="s">
        <v>44</v>
      </c>
      <c r="E426" s="2" t="s">
        <v>33</v>
      </c>
      <c r="F426" s="2">
        <v>5</v>
      </c>
      <c r="G426" s="15">
        <v>402.77</v>
      </c>
      <c r="H426" s="15">
        <v>2013.85</v>
      </c>
      <c r="I426" s="2">
        <v>0</v>
      </c>
      <c r="J426" s="15">
        <v>2013.85</v>
      </c>
    </row>
    <row r="427" spans="1:10" x14ac:dyDescent="0.3">
      <c r="A427" s="2" t="s">
        <v>458</v>
      </c>
      <c r="B427" s="3">
        <v>46033</v>
      </c>
      <c r="C427" s="2" t="s">
        <v>11</v>
      </c>
      <c r="D427" s="2" t="s">
        <v>12</v>
      </c>
      <c r="E427" s="2" t="s">
        <v>24</v>
      </c>
      <c r="F427" s="2">
        <v>13</v>
      </c>
      <c r="G427" s="15">
        <v>321.47000000000003</v>
      </c>
      <c r="H427" s="15">
        <v>4179.1099999999997</v>
      </c>
      <c r="I427" s="2">
        <v>5</v>
      </c>
      <c r="J427" s="15">
        <v>3970.15</v>
      </c>
    </row>
    <row r="428" spans="1:10" x14ac:dyDescent="0.3">
      <c r="A428" s="2" t="s">
        <v>459</v>
      </c>
      <c r="B428" s="3">
        <v>45801</v>
      </c>
      <c r="C428" s="2" t="s">
        <v>22</v>
      </c>
      <c r="D428" s="2" t="s">
        <v>52</v>
      </c>
      <c r="E428" s="2" t="s">
        <v>20</v>
      </c>
      <c r="F428" s="2">
        <v>8</v>
      </c>
      <c r="G428" s="15">
        <v>650.02</v>
      </c>
      <c r="H428" s="15">
        <v>5200.16</v>
      </c>
      <c r="I428" s="2">
        <v>0</v>
      </c>
      <c r="J428" s="15">
        <v>5200.16</v>
      </c>
    </row>
    <row r="429" spans="1:10" x14ac:dyDescent="0.3">
      <c r="A429" s="2" t="s">
        <v>460</v>
      </c>
      <c r="B429" s="3">
        <v>45903</v>
      </c>
      <c r="C429" s="2" t="s">
        <v>22</v>
      </c>
      <c r="D429" s="2" t="s">
        <v>19</v>
      </c>
      <c r="E429" s="2" t="s">
        <v>37</v>
      </c>
      <c r="F429" s="2">
        <v>17</v>
      </c>
      <c r="G429" s="15">
        <v>233.04</v>
      </c>
      <c r="H429" s="15">
        <v>3961.68</v>
      </c>
      <c r="I429" s="2">
        <v>5</v>
      </c>
      <c r="J429" s="15">
        <v>3763.6</v>
      </c>
    </row>
    <row r="430" spans="1:10" x14ac:dyDescent="0.3">
      <c r="A430" s="2" t="s">
        <v>461</v>
      </c>
      <c r="B430" s="3">
        <v>46086</v>
      </c>
      <c r="C430" s="2" t="s">
        <v>22</v>
      </c>
      <c r="D430" s="2" t="s">
        <v>19</v>
      </c>
      <c r="E430" s="2" t="s">
        <v>27</v>
      </c>
      <c r="F430" s="2">
        <v>7</v>
      </c>
      <c r="G430" s="15">
        <v>546.72</v>
      </c>
      <c r="H430" s="15">
        <v>3827.04</v>
      </c>
      <c r="I430" s="2">
        <v>15</v>
      </c>
      <c r="J430" s="15">
        <v>3252.98</v>
      </c>
    </row>
    <row r="431" spans="1:10" x14ac:dyDescent="0.3">
      <c r="A431" s="2" t="s">
        <v>462</v>
      </c>
      <c r="B431" s="3">
        <v>46075</v>
      </c>
      <c r="C431" s="2" t="s">
        <v>15</v>
      </c>
      <c r="D431" s="2" t="s">
        <v>60</v>
      </c>
      <c r="E431" s="2" t="s">
        <v>27</v>
      </c>
      <c r="F431" s="2">
        <v>6</v>
      </c>
      <c r="G431" s="15">
        <v>273.08</v>
      </c>
      <c r="H431" s="15">
        <v>1638.48</v>
      </c>
      <c r="I431" s="2">
        <v>5</v>
      </c>
      <c r="J431" s="15">
        <v>1556.56</v>
      </c>
    </row>
    <row r="432" spans="1:10" x14ac:dyDescent="0.3">
      <c r="A432" s="2" t="s">
        <v>463</v>
      </c>
      <c r="B432" s="3">
        <v>45942</v>
      </c>
      <c r="C432" s="2" t="s">
        <v>22</v>
      </c>
      <c r="D432" s="2" t="s">
        <v>32</v>
      </c>
      <c r="E432" s="2" t="s">
        <v>24</v>
      </c>
      <c r="F432" s="2">
        <v>20</v>
      </c>
      <c r="G432" s="15">
        <v>464.09</v>
      </c>
      <c r="H432" s="15">
        <v>9281.7999999999993</v>
      </c>
      <c r="I432" s="2">
        <v>15</v>
      </c>
      <c r="J432" s="15">
        <v>7889.53</v>
      </c>
    </row>
    <row r="433" spans="1:10" x14ac:dyDescent="0.3">
      <c r="A433" s="2" t="s">
        <v>464</v>
      </c>
      <c r="B433" s="3">
        <v>45952</v>
      </c>
      <c r="C433" s="2" t="s">
        <v>22</v>
      </c>
      <c r="D433" s="2" t="s">
        <v>60</v>
      </c>
      <c r="E433" s="2" t="s">
        <v>24</v>
      </c>
      <c r="F433" s="2">
        <v>10</v>
      </c>
      <c r="G433" s="15">
        <v>393.64</v>
      </c>
      <c r="H433" s="15">
        <v>3936.4</v>
      </c>
      <c r="I433" s="2">
        <v>10</v>
      </c>
      <c r="J433" s="15">
        <v>3542.76</v>
      </c>
    </row>
    <row r="434" spans="1:10" x14ac:dyDescent="0.3">
      <c r="A434" s="2" t="s">
        <v>465</v>
      </c>
      <c r="B434" s="3">
        <v>45823</v>
      </c>
      <c r="C434" s="2" t="s">
        <v>11</v>
      </c>
      <c r="D434" s="2" t="s">
        <v>16</v>
      </c>
      <c r="E434" s="2" t="s">
        <v>24</v>
      </c>
      <c r="F434" s="2">
        <v>14</v>
      </c>
      <c r="G434" s="15">
        <v>783.68</v>
      </c>
      <c r="H434" s="15">
        <v>10971.52</v>
      </c>
      <c r="I434" s="2">
        <v>5</v>
      </c>
      <c r="J434" s="15">
        <v>10422.94</v>
      </c>
    </row>
    <row r="435" spans="1:10" x14ac:dyDescent="0.3">
      <c r="A435" s="2" t="s">
        <v>466</v>
      </c>
      <c r="B435" s="3">
        <v>45936</v>
      </c>
      <c r="C435" s="2" t="s">
        <v>18</v>
      </c>
      <c r="D435" s="2" t="s">
        <v>32</v>
      </c>
      <c r="E435" s="2" t="s">
        <v>87</v>
      </c>
      <c r="F435" s="2">
        <v>12</v>
      </c>
      <c r="G435" s="15">
        <v>644.41999999999996</v>
      </c>
      <c r="H435" s="15">
        <v>7733.04</v>
      </c>
      <c r="I435" s="2">
        <v>0</v>
      </c>
      <c r="J435" s="15">
        <v>7733.04</v>
      </c>
    </row>
    <row r="436" spans="1:10" x14ac:dyDescent="0.3">
      <c r="A436" s="2" t="s">
        <v>467</v>
      </c>
      <c r="B436" s="3">
        <v>45905</v>
      </c>
      <c r="C436" s="2" t="s">
        <v>11</v>
      </c>
      <c r="D436" s="2" t="s">
        <v>60</v>
      </c>
      <c r="E436" s="2" t="s">
        <v>76</v>
      </c>
      <c r="F436" s="2">
        <v>15</v>
      </c>
      <c r="G436" s="15">
        <v>88.6</v>
      </c>
      <c r="H436" s="15">
        <v>1329</v>
      </c>
      <c r="I436" s="2">
        <v>15</v>
      </c>
      <c r="J436" s="15">
        <v>1129.6500000000001</v>
      </c>
    </row>
    <row r="437" spans="1:10" x14ac:dyDescent="0.3">
      <c r="A437" s="2" t="s">
        <v>468</v>
      </c>
      <c r="B437" s="3">
        <v>45868</v>
      </c>
      <c r="C437" s="2" t="s">
        <v>11</v>
      </c>
      <c r="D437" s="2" t="s">
        <v>52</v>
      </c>
      <c r="E437" s="2" t="s">
        <v>87</v>
      </c>
      <c r="F437" s="2">
        <v>3</v>
      </c>
      <c r="G437" s="15">
        <v>798.72</v>
      </c>
      <c r="H437" s="15">
        <v>2396.16</v>
      </c>
      <c r="I437" s="2">
        <v>15</v>
      </c>
      <c r="J437" s="15">
        <v>2036.74</v>
      </c>
    </row>
    <row r="438" spans="1:10" x14ac:dyDescent="0.3">
      <c r="A438" s="2" t="s">
        <v>469</v>
      </c>
      <c r="B438" s="3">
        <v>45907</v>
      </c>
      <c r="C438" s="2" t="s">
        <v>11</v>
      </c>
      <c r="D438" s="2" t="s">
        <v>12</v>
      </c>
      <c r="E438" s="2" t="s">
        <v>20</v>
      </c>
      <c r="F438" s="2">
        <v>20</v>
      </c>
      <c r="G438" s="15">
        <v>118.18</v>
      </c>
      <c r="H438" s="15">
        <v>2363.6</v>
      </c>
      <c r="I438" s="2">
        <v>0</v>
      </c>
      <c r="J438" s="15">
        <v>2363.6</v>
      </c>
    </row>
    <row r="439" spans="1:10" x14ac:dyDescent="0.3">
      <c r="A439" s="2" t="s">
        <v>470</v>
      </c>
      <c r="B439" s="3">
        <v>46062</v>
      </c>
      <c r="C439" s="2" t="s">
        <v>18</v>
      </c>
      <c r="D439" s="2" t="s">
        <v>32</v>
      </c>
      <c r="E439" s="2" t="s">
        <v>20</v>
      </c>
      <c r="F439" s="2">
        <v>8</v>
      </c>
      <c r="G439" s="15">
        <v>101.71</v>
      </c>
      <c r="H439" s="15">
        <v>813.68</v>
      </c>
      <c r="I439" s="2">
        <v>5</v>
      </c>
      <c r="J439" s="15">
        <v>773</v>
      </c>
    </row>
    <row r="440" spans="1:10" x14ac:dyDescent="0.3">
      <c r="A440" s="2" t="s">
        <v>471</v>
      </c>
      <c r="B440" s="3">
        <v>45961</v>
      </c>
      <c r="C440" s="2" t="s">
        <v>18</v>
      </c>
      <c r="D440" s="2" t="s">
        <v>23</v>
      </c>
      <c r="E440" s="2" t="s">
        <v>33</v>
      </c>
      <c r="F440" s="2">
        <v>16</v>
      </c>
      <c r="G440" s="15">
        <v>738.07</v>
      </c>
      <c r="H440" s="15">
        <v>11809.12</v>
      </c>
      <c r="I440" s="2">
        <v>15</v>
      </c>
      <c r="J440" s="15">
        <v>10037.75</v>
      </c>
    </row>
    <row r="441" spans="1:10" x14ac:dyDescent="0.3">
      <c r="A441" s="2" t="s">
        <v>472</v>
      </c>
      <c r="B441" s="3">
        <v>45890</v>
      </c>
      <c r="C441" s="2" t="s">
        <v>11</v>
      </c>
      <c r="D441" s="2" t="s">
        <v>23</v>
      </c>
      <c r="E441" s="2" t="s">
        <v>13</v>
      </c>
      <c r="F441" s="2">
        <v>5</v>
      </c>
      <c r="G441" s="15">
        <v>145.87</v>
      </c>
      <c r="H441" s="15">
        <v>729.35</v>
      </c>
      <c r="I441" s="2">
        <v>15</v>
      </c>
      <c r="J441" s="15">
        <v>619.95000000000005</v>
      </c>
    </row>
    <row r="442" spans="1:10" x14ac:dyDescent="0.3">
      <c r="A442" s="2" t="s">
        <v>473</v>
      </c>
      <c r="B442" s="3">
        <v>45990</v>
      </c>
      <c r="C442" s="2" t="s">
        <v>22</v>
      </c>
      <c r="D442" s="2" t="s">
        <v>12</v>
      </c>
      <c r="E442" s="2" t="s">
        <v>24</v>
      </c>
      <c r="F442" s="2">
        <v>14</v>
      </c>
      <c r="G442" s="15">
        <v>711.69</v>
      </c>
      <c r="H442" s="15">
        <v>9963.66</v>
      </c>
      <c r="I442" s="2">
        <v>5</v>
      </c>
      <c r="J442" s="15">
        <v>9465.48</v>
      </c>
    </row>
    <row r="443" spans="1:10" x14ac:dyDescent="0.3">
      <c r="A443" s="2" t="s">
        <v>474</v>
      </c>
      <c r="B443" s="3">
        <v>45933</v>
      </c>
      <c r="C443" s="2" t="s">
        <v>11</v>
      </c>
      <c r="D443" s="2" t="s">
        <v>52</v>
      </c>
      <c r="E443" s="2" t="s">
        <v>76</v>
      </c>
      <c r="F443" s="2">
        <v>13</v>
      </c>
      <c r="G443" s="15">
        <v>798.37</v>
      </c>
      <c r="H443" s="15">
        <v>10378.81</v>
      </c>
      <c r="I443" s="2">
        <v>0</v>
      </c>
      <c r="J443" s="15">
        <v>10378.81</v>
      </c>
    </row>
    <row r="444" spans="1:10" x14ac:dyDescent="0.3">
      <c r="A444" s="2" t="s">
        <v>475</v>
      </c>
      <c r="B444" s="3">
        <v>45906</v>
      </c>
      <c r="C444" s="2" t="s">
        <v>15</v>
      </c>
      <c r="D444" s="2" t="s">
        <v>16</v>
      </c>
      <c r="E444" s="2" t="s">
        <v>39</v>
      </c>
      <c r="F444" s="2">
        <v>8</v>
      </c>
      <c r="G444" s="15">
        <v>987.34</v>
      </c>
      <c r="H444" s="15">
        <v>7898.72</v>
      </c>
      <c r="I444" s="2">
        <v>15</v>
      </c>
      <c r="J444" s="15">
        <v>6713.91</v>
      </c>
    </row>
    <row r="445" spans="1:10" x14ac:dyDescent="0.3">
      <c r="A445" s="2" t="s">
        <v>476</v>
      </c>
      <c r="B445" s="3">
        <v>45807</v>
      </c>
      <c r="C445" s="2" t="s">
        <v>11</v>
      </c>
      <c r="D445" s="2" t="s">
        <v>44</v>
      </c>
      <c r="E445" s="2" t="s">
        <v>30</v>
      </c>
      <c r="F445" s="2">
        <v>18</v>
      </c>
      <c r="G445" s="15">
        <v>655.29</v>
      </c>
      <c r="H445" s="15">
        <v>11795.22</v>
      </c>
      <c r="I445" s="2">
        <v>10</v>
      </c>
      <c r="J445" s="15">
        <v>10615.7</v>
      </c>
    </row>
    <row r="446" spans="1:10" x14ac:dyDescent="0.3">
      <c r="A446" s="2" t="s">
        <v>477</v>
      </c>
      <c r="B446" s="3">
        <v>45944</v>
      </c>
      <c r="C446" s="2" t="s">
        <v>15</v>
      </c>
      <c r="D446" s="2" t="s">
        <v>52</v>
      </c>
      <c r="E446" s="2" t="s">
        <v>13</v>
      </c>
      <c r="F446" s="2">
        <v>4</v>
      </c>
      <c r="G446" s="15">
        <v>650.52</v>
      </c>
      <c r="H446" s="15">
        <v>2602.08</v>
      </c>
      <c r="I446" s="2">
        <v>10</v>
      </c>
      <c r="J446" s="15">
        <v>2341.87</v>
      </c>
    </row>
    <row r="447" spans="1:10" x14ac:dyDescent="0.3">
      <c r="A447" s="2" t="s">
        <v>478</v>
      </c>
      <c r="B447" s="3">
        <v>45889</v>
      </c>
      <c r="C447" s="2" t="s">
        <v>18</v>
      </c>
      <c r="D447" s="2" t="s">
        <v>44</v>
      </c>
      <c r="E447" s="2" t="s">
        <v>27</v>
      </c>
      <c r="F447" s="2">
        <v>16</v>
      </c>
      <c r="G447" s="15">
        <v>858.69</v>
      </c>
      <c r="H447" s="15">
        <v>13739.04</v>
      </c>
      <c r="I447" s="2">
        <v>10</v>
      </c>
      <c r="J447" s="15">
        <v>12365.14</v>
      </c>
    </row>
    <row r="448" spans="1:10" x14ac:dyDescent="0.3">
      <c r="A448" s="2" t="s">
        <v>479</v>
      </c>
      <c r="B448" s="3">
        <v>46148</v>
      </c>
      <c r="C448" s="2" t="s">
        <v>22</v>
      </c>
      <c r="D448" s="2" t="s">
        <v>29</v>
      </c>
      <c r="E448" s="2" t="s">
        <v>87</v>
      </c>
      <c r="F448" s="2">
        <v>8</v>
      </c>
      <c r="G448" s="15">
        <v>546.11</v>
      </c>
      <c r="H448" s="15">
        <v>4368.88</v>
      </c>
      <c r="I448" s="2">
        <v>20</v>
      </c>
      <c r="J448" s="15">
        <v>3495.1</v>
      </c>
    </row>
    <row r="449" spans="1:10" x14ac:dyDescent="0.3">
      <c r="A449" s="2" t="s">
        <v>480</v>
      </c>
      <c r="B449" s="3">
        <v>46076</v>
      </c>
      <c r="C449" s="2" t="s">
        <v>15</v>
      </c>
      <c r="D449" s="2" t="s">
        <v>23</v>
      </c>
      <c r="E449" s="2" t="s">
        <v>24</v>
      </c>
      <c r="F449" s="2">
        <v>17</v>
      </c>
      <c r="G449" s="15">
        <v>774.39</v>
      </c>
      <c r="H449" s="15">
        <v>13164.63</v>
      </c>
      <c r="I449" s="2">
        <v>20</v>
      </c>
      <c r="J449" s="15">
        <v>10531.7</v>
      </c>
    </row>
    <row r="450" spans="1:10" x14ac:dyDescent="0.3">
      <c r="A450" s="2" t="s">
        <v>481</v>
      </c>
      <c r="B450" s="3">
        <v>46160</v>
      </c>
      <c r="C450" s="2" t="s">
        <v>15</v>
      </c>
      <c r="D450" s="2" t="s">
        <v>16</v>
      </c>
      <c r="E450" s="2" t="s">
        <v>76</v>
      </c>
      <c r="F450" s="2">
        <v>17</v>
      </c>
      <c r="G450" s="15">
        <v>792.67</v>
      </c>
      <c r="H450" s="15">
        <v>13475.39</v>
      </c>
      <c r="I450" s="2">
        <v>5</v>
      </c>
      <c r="J450" s="15">
        <v>12801.62</v>
      </c>
    </row>
    <row r="451" spans="1:10" x14ac:dyDescent="0.3">
      <c r="A451" s="2" t="s">
        <v>482</v>
      </c>
      <c r="B451" s="3">
        <v>45801</v>
      </c>
      <c r="C451" s="2" t="s">
        <v>15</v>
      </c>
      <c r="D451" s="2" t="s">
        <v>32</v>
      </c>
      <c r="E451" s="2" t="s">
        <v>39</v>
      </c>
      <c r="F451" s="2">
        <v>19</v>
      </c>
      <c r="G451" s="15">
        <v>562.46</v>
      </c>
      <c r="H451" s="15">
        <v>10686.74</v>
      </c>
      <c r="I451" s="2">
        <v>10</v>
      </c>
      <c r="J451" s="15">
        <v>9618.07</v>
      </c>
    </row>
    <row r="452" spans="1:10" x14ac:dyDescent="0.3">
      <c r="A452" s="2" t="s">
        <v>483</v>
      </c>
      <c r="B452" s="3">
        <v>45861</v>
      </c>
      <c r="C452" s="2" t="s">
        <v>11</v>
      </c>
      <c r="D452" s="2" t="s">
        <v>23</v>
      </c>
      <c r="E452" s="2" t="s">
        <v>39</v>
      </c>
      <c r="F452" s="2">
        <v>18</v>
      </c>
      <c r="G452" s="15">
        <v>887.58</v>
      </c>
      <c r="H452" s="15">
        <v>15976.44</v>
      </c>
      <c r="I452" s="2">
        <v>0</v>
      </c>
      <c r="J452" s="15">
        <v>15976.44</v>
      </c>
    </row>
    <row r="453" spans="1:10" x14ac:dyDescent="0.3">
      <c r="A453" s="2" t="s">
        <v>484</v>
      </c>
      <c r="B453" s="3">
        <v>45985</v>
      </c>
      <c r="C453" s="2" t="s">
        <v>18</v>
      </c>
      <c r="D453" s="2" t="s">
        <v>29</v>
      </c>
      <c r="E453" s="2" t="s">
        <v>39</v>
      </c>
      <c r="F453" s="2">
        <v>3</v>
      </c>
      <c r="G453" s="15">
        <v>587.42999999999995</v>
      </c>
      <c r="H453" s="15">
        <v>1762.29</v>
      </c>
      <c r="I453" s="2">
        <v>15</v>
      </c>
      <c r="J453" s="15">
        <v>1497.95</v>
      </c>
    </row>
    <row r="454" spans="1:10" x14ac:dyDescent="0.3">
      <c r="A454" s="2" t="s">
        <v>485</v>
      </c>
      <c r="B454" s="3">
        <v>45887</v>
      </c>
      <c r="C454" s="2" t="s">
        <v>22</v>
      </c>
      <c r="D454" s="2" t="s">
        <v>26</v>
      </c>
      <c r="E454" s="2" t="s">
        <v>27</v>
      </c>
      <c r="F454" s="2">
        <v>15</v>
      </c>
      <c r="G454" s="15">
        <v>477.7</v>
      </c>
      <c r="H454" s="15">
        <v>7165.5</v>
      </c>
      <c r="I454" s="2">
        <v>20</v>
      </c>
      <c r="J454" s="15">
        <v>5732.4</v>
      </c>
    </row>
    <row r="455" spans="1:10" x14ac:dyDescent="0.3">
      <c r="A455" s="2" t="s">
        <v>486</v>
      </c>
      <c r="B455" s="3">
        <v>46114</v>
      </c>
      <c r="C455" s="2" t="s">
        <v>11</v>
      </c>
      <c r="D455" s="2" t="s">
        <v>29</v>
      </c>
      <c r="E455" s="2" t="s">
        <v>87</v>
      </c>
      <c r="F455" s="2">
        <v>4</v>
      </c>
      <c r="G455" s="15">
        <v>755.28</v>
      </c>
      <c r="H455" s="15">
        <v>3021.12</v>
      </c>
      <c r="I455" s="2">
        <v>10</v>
      </c>
      <c r="J455" s="15">
        <v>2719.01</v>
      </c>
    </row>
    <row r="456" spans="1:10" x14ac:dyDescent="0.3">
      <c r="A456" s="2" t="s">
        <v>487</v>
      </c>
      <c r="B456" s="3">
        <v>45876</v>
      </c>
      <c r="C456" s="2" t="s">
        <v>11</v>
      </c>
      <c r="D456" s="2" t="s">
        <v>44</v>
      </c>
      <c r="E456" s="2" t="s">
        <v>76</v>
      </c>
      <c r="F456" s="2">
        <v>8</v>
      </c>
      <c r="G456" s="15">
        <v>333.23</v>
      </c>
      <c r="H456" s="15">
        <v>2665.84</v>
      </c>
      <c r="I456" s="2">
        <v>20</v>
      </c>
      <c r="J456" s="15">
        <v>2132.67</v>
      </c>
    </row>
    <row r="457" spans="1:10" x14ac:dyDescent="0.3">
      <c r="A457" s="2" t="s">
        <v>488</v>
      </c>
      <c r="B457" s="3">
        <v>46090</v>
      </c>
      <c r="C457" s="2" t="s">
        <v>18</v>
      </c>
      <c r="D457" s="2" t="s">
        <v>19</v>
      </c>
      <c r="E457" s="2" t="s">
        <v>24</v>
      </c>
      <c r="F457" s="2">
        <v>1</v>
      </c>
      <c r="G457" s="15">
        <v>584.64</v>
      </c>
      <c r="H457" s="15">
        <v>584.64</v>
      </c>
      <c r="I457" s="2">
        <v>0</v>
      </c>
      <c r="J457" s="15">
        <v>584.64</v>
      </c>
    </row>
    <row r="458" spans="1:10" x14ac:dyDescent="0.3">
      <c r="A458" s="2" t="s">
        <v>489</v>
      </c>
      <c r="B458" s="3">
        <v>45962</v>
      </c>
      <c r="C458" s="2" t="s">
        <v>18</v>
      </c>
      <c r="D458" s="2" t="s">
        <v>44</v>
      </c>
      <c r="E458" s="2" t="s">
        <v>24</v>
      </c>
      <c r="F458" s="2">
        <v>5</v>
      </c>
      <c r="G458" s="15">
        <v>739.26</v>
      </c>
      <c r="H458" s="15">
        <v>3696.3</v>
      </c>
      <c r="I458" s="2">
        <v>0</v>
      </c>
      <c r="J458" s="15">
        <v>3696.3</v>
      </c>
    </row>
    <row r="459" spans="1:10" x14ac:dyDescent="0.3">
      <c r="A459" s="2" t="s">
        <v>490</v>
      </c>
      <c r="B459" s="3">
        <v>45938</v>
      </c>
      <c r="C459" s="2" t="s">
        <v>22</v>
      </c>
      <c r="D459" s="2" t="s">
        <v>16</v>
      </c>
      <c r="E459" s="2" t="s">
        <v>37</v>
      </c>
      <c r="F459" s="2">
        <v>18</v>
      </c>
      <c r="G459" s="15">
        <v>397.15</v>
      </c>
      <c r="H459" s="15">
        <v>7148.7</v>
      </c>
      <c r="I459" s="2">
        <v>5</v>
      </c>
      <c r="J459" s="15">
        <v>6791.26</v>
      </c>
    </row>
    <row r="460" spans="1:10" x14ac:dyDescent="0.3">
      <c r="A460" s="2" t="s">
        <v>491</v>
      </c>
      <c r="B460" s="3">
        <v>46008</v>
      </c>
      <c r="C460" s="2" t="s">
        <v>18</v>
      </c>
      <c r="D460" s="2" t="s">
        <v>16</v>
      </c>
      <c r="E460" s="2" t="s">
        <v>39</v>
      </c>
      <c r="F460" s="2">
        <v>11</v>
      </c>
      <c r="G460" s="15">
        <v>618.04999999999995</v>
      </c>
      <c r="H460" s="15">
        <v>6798.55</v>
      </c>
      <c r="I460" s="2">
        <v>20</v>
      </c>
      <c r="J460" s="15">
        <v>5438.84</v>
      </c>
    </row>
    <row r="461" spans="1:10" x14ac:dyDescent="0.3">
      <c r="A461" s="2" t="s">
        <v>492</v>
      </c>
      <c r="B461" s="3">
        <v>45927</v>
      </c>
      <c r="C461" s="2" t="s">
        <v>22</v>
      </c>
      <c r="D461" s="2" t="s">
        <v>16</v>
      </c>
      <c r="E461" s="2" t="s">
        <v>20</v>
      </c>
      <c r="F461" s="2">
        <v>20</v>
      </c>
      <c r="G461" s="15">
        <v>881.54</v>
      </c>
      <c r="H461" s="15">
        <v>17630.8</v>
      </c>
      <c r="I461" s="2">
        <v>10</v>
      </c>
      <c r="J461" s="15">
        <v>15867.72</v>
      </c>
    </row>
    <row r="462" spans="1:10" x14ac:dyDescent="0.3">
      <c r="A462" s="2" t="s">
        <v>493</v>
      </c>
      <c r="B462" s="3">
        <v>46144</v>
      </c>
      <c r="C462" s="2" t="s">
        <v>11</v>
      </c>
      <c r="D462" s="2" t="s">
        <v>44</v>
      </c>
      <c r="E462" s="2" t="s">
        <v>39</v>
      </c>
      <c r="F462" s="2">
        <v>14</v>
      </c>
      <c r="G462" s="15">
        <v>236.31</v>
      </c>
      <c r="H462" s="15">
        <v>3308.34</v>
      </c>
      <c r="I462" s="2">
        <v>15</v>
      </c>
      <c r="J462" s="15">
        <v>2812.09</v>
      </c>
    </row>
    <row r="463" spans="1:10" x14ac:dyDescent="0.3">
      <c r="A463" s="2" t="s">
        <v>494</v>
      </c>
      <c r="B463" s="3">
        <v>46006</v>
      </c>
      <c r="C463" s="2" t="s">
        <v>11</v>
      </c>
      <c r="D463" s="2" t="s">
        <v>12</v>
      </c>
      <c r="E463" s="2" t="s">
        <v>76</v>
      </c>
      <c r="F463" s="2">
        <v>2</v>
      </c>
      <c r="G463" s="15">
        <v>505.5</v>
      </c>
      <c r="H463" s="15">
        <v>1011</v>
      </c>
      <c r="I463" s="2">
        <v>10</v>
      </c>
      <c r="J463" s="15">
        <v>909.9</v>
      </c>
    </row>
    <row r="464" spans="1:10" x14ac:dyDescent="0.3">
      <c r="A464" s="2" t="s">
        <v>495</v>
      </c>
      <c r="B464" s="3">
        <v>45992</v>
      </c>
      <c r="C464" s="2" t="s">
        <v>15</v>
      </c>
      <c r="D464" s="2" t="s">
        <v>19</v>
      </c>
      <c r="E464" s="2" t="s">
        <v>24</v>
      </c>
      <c r="F464" s="2">
        <v>5</v>
      </c>
      <c r="G464" s="15">
        <v>658.95</v>
      </c>
      <c r="H464" s="15">
        <v>3294.75</v>
      </c>
      <c r="I464" s="2">
        <v>10</v>
      </c>
      <c r="J464" s="15">
        <v>2965.28</v>
      </c>
    </row>
    <row r="465" spans="1:10" x14ac:dyDescent="0.3">
      <c r="A465" s="2" t="s">
        <v>496</v>
      </c>
      <c r="B465" s="3">
        <v>46032</v>
      </c>
      <c r="C465" s="2" t="s">
        <v>18</v>
      </c>
      <c r="D465" s="2" t="s">
        <v>26</v>
      </c>
      <c r="E465" s="2" t="s">
        <v>37</v>
      </c>
      <c r="F465" s="2">
        <v>14</v>
      </c>
      <c r="G465" s="15">
        <v>421.27</v>
      </c>
      <c r="H465" s="15">
        <v>5897.78</v>
      </c>
      <c r="I465" s="2">
        <v>0</v>
      </c>
      <c r="J465" s="15">
        <v>5897.78</v>
      </c>
    </row>
    <row r="466" spans="1:10" x14ac:dyDescent="0.3">
      <c r="A466" s="2" t="s">
        <v>497</v>
      </c>
      <c r="B466" s="3">
        <v>45937</v>
      </c>
      <c r="C466" s="2" t="s">
        <v>15</v>
      </c>
      <c r="D466" s="2" t="s">
        <v>19</v>
      </c>
      <c r="E466" s="2" t="s">
        <v>37</v>
      </c>
      <c r="F466" s="2">
        <v>11</v>
      </c>
      <c r="G466" s="15">
        <v>277.04000000000002</v>
      </c>
      <c r="H466" s="15">
        <v>3047.44</v>
      </c>
      <c r="I466" s="2">
        <v>20</v>
      </c>
      <c r="J466" s="15">
        <v>2437.9499999999998</v>
      </c>
    </row>
    <row r="467" spans="1:10" x14ac:dyDescent="0.3">
      <c r="A467" s="2" t="s">
        <v>498</v>
      </c>
      <c r="B467" s="3">
        <v>45988</v>
      </c>
      <c r="C467" s="2" t="s">
        <v>11</v>
      </c>
      <c r="D467" s="2" t="s">
        <v>26</v>
      </c>
      <c r="E467" s="2" t="s">
        <v>24</v>
      </c>
      <c r="F467" s="2">
        <v>3</v>
      </c>
      <c r="G467" s="15">
        <v>770.39</v>
      </c>
      <c r="H467" s="15">
        <v>2311.17</v>
      </c>
      <c r="I467" s="2">
        <v>5</v>
      </c>
      <c r="J467" s="15">
        <v>2195.61</v>
      </c>
    </row>
    <row r="468" spans="1:10" x14ac:dyDescent="0.3">
      <c r="A468" s="2" t="s">
        <v>499</v>
      </c>
      <c r="B468" s="3">
        <v>45880</v>
      </c>
      <c r="C468" s="2" t="s">
        <v>15</v>
      </c>
      <c r="D468" s="2" t="s">
        <v>60</v>
      </c>
      <c r="E468" s="2" t="s">
        <v>30</v>
      </c>
      <c r="F468" s="2">
        <v>6</v>
      </c>
      <c r="G468" s="15">
        <v>516.86</v>
      </c>
      <c r="H468" s="15">
        <v>3101.16</v>
      </c>
      <c r="I468" s="2">
        <v>5</v>
      </c>
      <c r="J468" s="15">
        <v>2946.1</v>
      </c>
    </row>
    <row r="469" spans="1:10" x14ac:dyDescent="0.3">
      <c r="A469" s="2" t="s">
        <v>500</v>
      </c>
      <c r="B469" s="3">
        <v>45874</v>
      </c>
      <c r="C469" s="2" t="s">
        <v>18</v>
      </c>
      <c r="D469" s="2" t="s">
        <v>26</v>
      </c>
      <c r="E469" s="2" t="s">
        <v>33</v>
      </c>
      <c r="F469" s="2">
        <v>19</v>
      </c>
      <c r="G469" s="15">
        <v>544.03</v>
      </c>
      <c r="H469" s="15">
        <v>10336.57</v>
      </c>
      <c r="I469" s="2">
        <v>0</v>
      </c>
      <c r="J469" s="15">
        <v>10336.57</v>
      </c>
    </row>
    <row r="470" spans="1:10" x14ac:dyDescent="0.3">
      <c r="A470" s="2" t="s">
        <v>501</v>
      </c>
      <c r="B470" s="3">
        <v>45887</v>
      </c>
      <c r="C470" s="2" t="s">
        <v>22</v>
      </c>
      <c r="D470" s="2" t="s">
        <v>52</v>
      </c>
      <c r="E470" s="2" t="s">
        <v>30</v>
      </c>
      <c r="F470" s="2">
        <v>19</v>
      </c>
      <c r="G470" s="15">
        <v>845.11</v>
      </c>
      <c r="H470" s="15">
        <v>16057.09</v>
      </c>
      <c r="I470" s="2">
        <v>0</v>
      </c>
      <c r="J470" s="15">
        <v>16057.09</v>
      </c>
    </row>
    <row r="471" spans="1:10" x14ac:dyDescent="0.3">
      <c r="A471" s="2" t="s">
        <v>502</v>
      </c>
      <c r="B471" s="3">
        <v>46061</v>
      </c>
      <c r="C471" s="2" t="s">
        <v>11</v>
      </c>
      <c r="D471" s="2" t="s">
        <v>26</v>
      </c>
      <c r="E471" s="2" t="s">
        <v>37</v>
      </c>
      <c r="F471" s="2">
        <v>2</v>
      </c>
      <c r="G471" s="15">
        <v>917.67</v>
      </c>
      <c r="H471" s="15">
        <v>1835.34</v>
      </c>
      <c r="I471" s="2">
        <v>15</v>
      </c>
      <c r="J471" s="15">
        <v>1560.04</v>
      </c>
    </row>
    <row r="472" spans="1:10" x14ac:dyDescent="0.3">
      <c r="A472" s="2" t="s">
        <v>503</v>
      </c>
      <c r="B472" s="3">
        <v>46009</v>
      </c>
      <c r="C472" s="2" t="s">
        <v>18</v>
      </c>
      <c r="D472" s="2" t="s">
        <v>60</v>
      </c>
      <c r="E472" s="2" t="s">
        <v>24</v>
      </c>
      <c r="F472" s="2">
        <v>5</v>
      </c>
      <c r="G472" s="15">
        <v>728.68</v>
      </c>
      <c r="H472" s="15">
        <v>3643.4</v>
      </c>
      <c r="I472" s="2">
        <v>15</v>
      </c>
      <c r="J472" s="15">
        <v>3096.89</v>
      </c>
    </row>
    <row r="473" spans="1:10" x14ac:dyDescent="0.3">
      <c r="A473" s="2" t="s">
        <v>504</v>
      </c>
      <c r="B473" s="3">
        <v>46121</v>
      </c>
      <c r="C473" s="2" t="s">
        <v>15</v>
      </c>
      <c r="D473" s="2" t="s">
        <v>29</v>
      </c>
      <c r="E473" s="2" t="s">
        <v>13</v>
      </c>
      <c r="F473" s="2">
        <v>7</v>
      </c>
      <c r="G473" s="15">
        <v>973.32</v>
      </c>
      <c r="H473" s="15">
        <v>6813.24</v>
      </c>
      <c r="I473" s="2">
        <v>15</v>
      </c>
      <c r="J473" s="15">
        <v>5791.25</v>
      </c>
    </row>
    <row r="474" spans="1:10" x14ac:dyDescent="0.3">
      <c r="A474" s="2" t="s">
        <v>505</v>
      </c>
      <c r="B474" s="3">
        <v>45881</v>
      </c>
      <c r="C474" s="2" t="s">
        <v>15</v>
      </c>
      <c r="D474" s="2" t="s">
        <v>52</v>
      </c>
      <c r="E474" s="2" t="s">
        <v>13</v>
      </c>
      <c r="F474" s="2">
        <v>4</v>
      </c>
      <c r="G474" s="15">
        <v>162.63999999999999</v>
      </c>
      <c r="H474" s="15">
        <v>650.55999999999995</v>
      </c>
      <c r="I474" s="2">
        <v>5</v>
      </c>
      <c r="J474" s="15">
        <v>618.03</v>
      </c>
    </row>
    <row r="475" spans="1:10" x14ac:dyDescent="0.3">
      <c r="A475" s="2" t="s">
        <v>506</v>
      </c>
      <c r="B475" s="3">
        <v>46115</v>
      </c>
      <c r="C475" s="2" t="s">
        <v>18</v>
      </c>
      <c r="D475" s="2" t="s">
        <v>12</v>
      </c>
      <c r="E475" s="2" t="s">
        <v>30</v>
      </c>
      <c r="F475" s="2">
        <v>13</v>
      </c>
      <c r="G475" s="15">
        <v>148.72999999999999</v>
      </c>
      <c r="H475" s="15">
        <v>1933.49</v>
      </c>
      <c r="I475" s="2">
        <v>15</v>
      </c>
      <c r="J475" s="15">
        <v>1643.47</v>
      </c>
    </row>
    <row r="476" spans="1:10" x14ac:dyDescent="0.3">
      <c r="A476" s="2" t="s">
        <v>507</v>
      </c>
      <c r="B476" s="3">
        <v>45842</v>
      </c>
      <c r="C476" s="2" t="s">
        <v>18</v>
      </c>
      <c r="D476" s="2" t="s">
        <v>19</v>
      </c>
      <c r="E476" s="2" t="s">
        <v>39</v>
      </c>
      <c r="F476" s="2">
        <v>4</v>
      </c>
      <c r="G476" s="15">
        <v>495.2</v>
      </c>
      <c r="H476" s="15">
        <v>1980.8</v>
      </c>
      <c r="I476" s="2">
        <v>15</v>
      </c>
      <c r="J476" s="15">
        <v>1683.68</v>
      </c>
    </row>
    <row r="477" spans="1:10" x14ac:dyDescent="0.3">
      <c r="A477" s="2" t="s">
        <v>508</v>
      </c>
      <c r="B477" s="3">
        <v>46080</v>
      </c>
      <c r="C477" s="2" t="s">
        <v>18</v>
      </c>
      <c r="D477" s="2" t="s">
        <v>19</v>
      </c>
      <c r="E477" s="2" t="s">
        <v>33</v>
      </c>
      <c r="F477" s="2">
        <v>5</v>
      </c>
      <c r="G477" s="15">
        <v>448</v>
      </c>
      <c r="H477" s="15">
        <v>2240</v>
      </c>
      <c r="I477" s="2">
        <v>0</v>
      </c>
      <c r="J477" s="15">
        <v>2240</v>
      </c>
    </row>
    <row r="478" spans="1:10" x14ac:dyDescent="0.3">
      <c r="A478" s="2" t="s">
        <v>509</v>
      </c>
      <c r="B478" s="3">
        <v>45871</v>
      </c>
      <c r="C478" s="2" t="s">
        <v>18</v>
      </c>
      <c r="D478" s="2" t="s">
        <v>26</v>
      </c>
      <c r="E478" s="2" t="s">
        <v>87</v>
      </c>
      <c r="F478" s="2">
        <v>9</v>
      </c>
      <c r="G478" s="15">
        <v>52.14</v>
      </c>
      <c r="H478" s="15">
        <v>469.26</v>
      </c>
      <c r="I478" s="2">
        <v>15</v>
      </c>
      <c r="J478" s="15">
        <v>398.87</v>
      </c>
    </row>
    <row r="479" spans="1:10" x14ac:dyDescent="0.3">
      <c r="A479" s="2" t="s">
        <v>510</v>
      </c>
      <c r="B479" s="3">
        <v>45895</v>
      </c>
      <c r="C479" s="2" t="s">
        <v>18</v>
      </c>
      <c r="D479" s="2" t="s">
        <v>44</v>
      </c>
      <c r="E479" s="2" t="s">
        <v>27</v>
      </c>
      <c r="F479" s="2">
        <v>8</v>
      </c>
      <c r="G479" s="15">
        <v>596.44000000000005</v>
      </c>
      <c r="H479" s="15">
        <v>4771.5200000000004</v>
      </c>
      <c r="I479" s="2">
        <v>20</v>
      </c>
      <c r="J479" s="15">
        <v>3817.22</v>
      </c>
    </row>
    <row r="480" spans="1:10" x14ac:dyDescent="0.3">
      <c r="A480" s="2" t="s">
        <v>511</v>
      </c>
      <c r="B480" s="3">
        <v>45971</v>
      </c>
      <c r="C480" s="2" t="s">
        <v>22</v>
      </c>
      <c r="D480" s="2" t="s">
        <v>19</v>
      </c>
      <c r="E480" s="2" t="s">
        <v>87</v>
      </c>
      <c r="F480" s="2">
        <v>12</v>
      </c>
      <c r="G480" s="15">
        <v>973.92</v>
      </c>
      <c r="H480" s="15">
        <v>11687.04</v>
      </c>
      <c r="I480" s="2">
        <v>15</v>
      </c>
      <c r="J480" s="15">
        <v>9933.98</v>
      </c>
    </row>
    <row r="481" spans="1:10" x14ac:dyDescent="0.3">
      <c r="A481" s="2" t="s">
        <v>512</v>
      </c>
      <c r="B481" s="3">
        <v>46066</v>
      </c>
      <c r="C481" s="2" t="s">
        <v>11</v>
      </c>
      <c r="D481" s="2" t="s">
        <v>19</v>
      </c>
      <c r="E481" s="2" t="s">
        <v>33</v>
      </c>
      <c r="F481" s="2">
        <v>14</v>
      </c>
      <c r="G481" s="15">
        <v>486.7</v>
      </c>
      <c r="H481" s="15">
        <v>6813.8</v>
      </c>
      <c r="I481" s="2">
        <v>5</v>
      </c>
      <c r="J481" s="15">
        <v>6473.11</v>
      </c>
    </row>
    <row r="482" spans="1:10" x14ac:dyDescent="0.3">
      <c r="A482" s="2" t="s">
        <v>513</v>
      </c>
      <c r="B482" s="3">
        <v>45863</v>
      </c>
      <c r="C482" s="2" t="s">
        <v>15</v>
      </c>
      <c r="D482" s="2" t="s">
        <v>29</v>
      </c>
      <c r="E482" s="2" t="s">
        <v>76</v>
      </c>
      <c r="F482" s="2">
        <v>4</v>
      </c>
      <c r="G482" s="15">
        <v>882.73</v>
      </c>
      <c r="H482" s="15">
        <v>3530.92</v>
      </c>
      <c r="I482" s="2">
        <v>20</v>
      </c>
      <c r="J482" s="15">
        <v>2824.74</v>
      </c>
    </row>
    <row r="483" spans="1:10" x14ac:dyDescent="0.3">
      <c r="A483" s="2" t="s">
        <v>514</v>
      </c>
      <c r="B483" s="3">
        <v>46092</v>
      </c>
      <c r="C483" s="2" t="s">
        <v>11</v>
      </c>
      <c r="D483" s="2" t="s">
        <v>52</v>
      </c>
      <c r="E483" s="2" t="s">
        <v>24</v>
      </c>
      <c r="F483" s="2">
        <v>5</v>
      </c>
      <c r="G483" s="15">
        <v>145.97999999999999</v>
      </c>
      <c r="H483" s="15">
        <v>729.9</v>
      </c>
      <c r="I483" s="2">
        <v>5</v>
      </c>
      <c r="J483" s="15">
        <v>693.4</v>
      </c>
    </row>
    <row r="484" spans="1:10" x14ac:dyDescent="0.3">
      <c r="A484" s="2" t="s">
        <v>515</v>
      </c>
      <c r="B484" s="3">
        <v>46008</v>
      </c>
      <c r="C484" s="2" t="s">
        <v>11</v>
      </c>
      <c r="D484" s="2" t="s">
        <v>19</v>
      </c>
      <c r="E484" s="2" t="s">
        <v>76</v>
      </c>
      <c r="F484" s="2">
        <v>9</v>
      </c>
      <c r="G484" s="15">
        <v>742.2</v>
      </c>
      <c r="H484" s="15">
        <v>6679.8</v>
      </c>
      <c r="I484" s="2">
        <v>15</v>
      </c>
      <c r="J484" s="15">
        <v>5677.83</v>
      </c>
    </row>
    <row r="485" spans="1:10" x14ac:dyDescent="0.3">
      <c r="A485" s="2" t="s">
        <v>516</v>
      </c>
      <c r="B485" s="3">
        <v>46078</v>
      </c>
      <c r="C485" s="2" t="s">
        <v>22</v>
      </c>
      <c r="D485" s="2" t="s">
        <v>29</v>
      </c>
      <c r="E485" s="2" t="s">
        <v>30</v>
      </c>
      <c r="F485" s="2">
        <v>11</v>
      </c>
      <c r="G485" s="15">
        <v>598.16</v>
      </c>
      <c r="H485" s="15">
        <v>6579.76</v>
      </c>
      <c r="I485" s="2">
        <v>10</v>
      </c>
      <c r="J485" s="15">
        <v>5921.78</v>
      </c>
    </row>
    <row r="486" spans="1:10" x14ac:dyDescent="0.3">
      <c r="A486" s="2" t="s">
        <v>517</v>
      </c>
      <c r="B486" s="3">
        <v>45833</v>
      </c>
      <c r="C486" s="2" t="s">
        <v>18</v>
      </c>
      <c r="D486" s="2" t="s">
        <v>16</v>
      </c>
      <c r="E486" s="2" t="s">
        <v>30</v>
      </c>
      <c r="F486" s="2">
        <v>13</v>
      </c>
      <c r="G486" s="15">
        <v>135.34</v>
      </c>
      <c r="H486" s="15">
        <v>1759.42</v>
      </c>
      <c r="I486" s="2">
        <v>20</v>
      </c>
      <c r="J486" s="15">
        <v>1407.54</v>
      </c>
    </row>
    <row r="487" spans="1:10" x14ac:dyDescent="0.3">
      <c r="A487" s="2" t="s">
        <v>518</v>
      </c>
      <c r="B487" s="3">
        <v>45840</v>
      </c>
      <c r="C487" s="2" t="s">
        <v>18</v>
      </c>
      <c r="D487" s="2" t="s">
        <v>32</v>
      </c>
      <c r="E487" s="2" t="s">
        <v>27</v>
      </c>
      <c r="F487" s="2">
        <v>3</v>
      </c>
      <c r="G487" s="15">
        <v>539.66</v>
      </c>
      <c r="H487" s="15">
        <v>1618.98</v>
      </c>
      <c r="I487" s="2">
        <v>0</v>
      </c>
      <c r="J487" s="15">
        <v>1618.98</v>
      </c>
    </row>
    <row r="488" spans="1:10" x14ac:dyDescent="0.3">
      <c r="A488" s="2" t="s">
        <v>519</v>
      </c>
      <c r="B488" s="3">
        <v>45844</v>
      </c>
      <c r="C488" s="2" t="s">
        <v>18</v>
      </c>
      <c r="D488" s="2" t="s">
        <v>23</v>
      </c>
      <c r="E488" s="2" t="s">
        <v>24</v>
      </c>
      <c r="F488" s="2">
        <v>14</v>
      </c>
      <c r="G488" s="15">
        <v>821.76</v>
      </c>
      <c r="H488" s="15">
        <v>11504.64</v>
      </c>
      <c r="I488" s="2">
        <v>10</v>
      </c>
      <c r="J488" s="15">
        <v>10354.18</v>
      </c>
    </row>
    <row r="489" spans="1:10" x14ac:dyDescent="0.3">
      <c r="A489" s="2" t="s">
        <v>520</v>
      </c>
      <c r="B489" s="3">
        <v>46029</v>
      </c>
      <c r="C489" s="2" t="s">
        <v>18</v>
      </c>
      <c r="D489" s="2" t="s">
        <v>26</v>
      </c>
      <c r="E489" s="2" t="s">
        <v>87</v>
      </c>
      <c r="F489" s="2">
        <v>1</v>
      </c>
      <c r="G489" s="15">
        <v>798.6</v>
      </c>
      <c r="H489" s="15">
        <v>798.6</v>
      </c>
      <c r="I489" s="2">
        <v>15</v>
      </c>
      <c r="J489" s="15">
        <v>678.81</v>
      </c>
    </row>
    <row r="490" spans="1:10" x14ac:dyDescent="0.3">
      <c r="A490" s="2" t="s">
        <v>521</v>
      </c>
      <c r="B490" s="3">
        <v>45944</v>
      </c>
      <c r="C490" s="2" t="s">
        <v>11</v>
      </c>
      <c r="D490" s="2" t="s">
        <v>12</v>
      </c>
      <c r="E490" s="2" t="s">
        <v>33</v>
      </c>
      <c r="F490" s="2">
        <v>15</v>
      </c>
      <c r="G490" s="15">
        <v>942.38</v>
      </c>
      <c r="H490" s="15">
        <v>14135.7</v>
      </c>
      <c r="I490" s="2">
        <v>15</v>
      </c>
      <c r="J490" s="15">
        <v>12015.35</v>
      </c>
    </row>
    <row r="491" spans="1:10" x14ac:dyDescent="0.3">
      <c r="A491" s="2" t="s">
        <v>522</v>
      </c>
      <c r="B491" s="3">
        <v>45831</v>
      </c>
      <c r="C491" s="2" t="s">
        <v>18</v>
      </c>
      <c r="D491" s="2" t="s">
        <v>19</v>
      </c>
      <c r="E491" s="2" t="s">
        <v>27</v>
      </c>
      <c r="F491" s="2">
        <v>4</v>
      </c>
      <c r="G491" s="15">
        <v>466.92</v>
      </c>
      <c r="H491" s="15">
        <v>1867.68</v>
      </c>
      <c r="I491" s="2">
        <v>20</v>
      </c>
      <c r="J491" s="15">
        <v>1494.14</v>
      </c>
    </row>
    <row r="492" spans="1:10" x14ac:dyDescent="0.3">
      <c r="A492" s="2" t="s">
        <v>523</v>
      </c>
      <c r="B492" s="3">
        <v>46057</v>
      </c>
      <c r="C492" s="2" t="s">
        <v>15</v>
      </c>
      <c r="D492" s="2" t="s">
        <v>23</v>
      </c>
      <c r="E492" s="2" t="s">
        <v>20</v>
      </c>
      <c r="F492" s="2">
        <v>14</v>
      </c>
      <c r="G492" s="15">
        <v>139.21</v>
      </c>
      <c r="H492" s="15">
        <v>1948.94</v>
      </c>
      <c r="I492" s="2">
        <v>20</v>
      </c>
      <c r="J492" s="15">
        <v>1559.15</v>
      </c>
    </row>
    <row r="493" spans="1:10" x14ac:dyDescent="0.3">
      <c r="A493" s="2" t="s">
        <v>524</v>
      </c>
      <c r="B493" s="3">
        <v>45804</v>
      </c>
      <c r="C493" s="2" t="s">
        <v>15</v>
      </c>
      <c r="D493" s="2" t="s">
        <v>12</v>
      </c>
      <c r="E493" s="2" t="s">
        <v>24</v>
      </c>
      <c r="F493" s="2">
        <v>19</v>
      </c>
      <c r="G493" s="15">
        <v>223.84</v>
      </c>
      <c r="H493" s="15">
        <v>4252.96</v>
      </c>
      <c r="I493" s="2">
        <v>15</v>
      </c>
      <c r="J493" s="15">
        <v>3615.02</v>
      </c>
    </row>
    <row r="494" spans="1:10" x14ac:dyDescent="0.3">
      <c r="A494" s="2" t="s">
        <v>525</v>
      </c>
      <c r="B494" s="3">
        <v>45941</v>
      </c>
      <c r="C494" s="2" t="s">
        <v>11</v>
      </c>
      <c r="D494" s="2" t="s">
        <v>16</v>
      </c>
      <c r="E494" s="2" t="s">
        <v>30</v>
      </c>
      <c r="F494" s="2">
        <v>6</v>
      </c>
      <c r="G494" s="15">
        <v>981.38</v>
      </c>
      <c r="H494" s="15">
        <v>5888.28</v>
      </c>
      <c r="I494" s="2">
        <v>0</v>
      </c>
      <c r="J494" s="15">
        <v>5888.28</v>
      </c>
    </row>
    <row r="495" spans="1:10" x14ac:dyDescent="0.3">
      <c r="A495" s="2" t="s">
        <v>526</v>
      </c>
      <c r="B495" s="3">
        <v>46066</v>
      </c>
      <c r="C495" s="2" t="s">
        <v>18</v>
      </c>
      <c r="D495" s="2" t="s">
        <v>23</v>
      </c>
      <c r="E495" s="2" t="s">
        <v>13</v>
      </c>
      <c r="F495" s="2">
        <v>2</v>
      </c>
      <c r="G495" s="15">
        <v>629.64</v>
      </c>
      <c r="H495" s="15">
        <v>1259.28</v>
      </c>
      <c r="I495" s="2">
        <v>15</v>
      </c>
      <c r="J495" s="15">
        <v>1070.3900000000001</v>
      </c>
    </row>
    <row r="496" spans="1:10" x14ac:dyDescent="0.3">
      <c r="A496" s="2" t="s">
        <v>527</v>
      </c>
      <c r="B496" s="3">
        <v>46021</v>
      </c>
      <c r="C496" s="2" t="s">
        <v>22</v>
      </c>
      <c r="D496" s="2" t="s">
        <v>23</v>
      </c>
      <c r="E496" s="2" t="s">
        <v>87</v>
      </c>
      <c r="F496" s="2">
        <v>4</v>
      </c>
      <c r="G496" s="15">
        <v>759.95</v>
      </c>
      <c r="H496" s="15">
        <v>3039.8</v>
      </c>
      <c r="I496" s="2">
        <v>15</v>
      </c>
      <c r="J496" s="15">
        <v>2583.83</v>
      </c>
    </row>
    <row r="497" spans="1:10" x14ac:dyDescent="0.3">
      <c r="A497" s="2" t="s">
        <v>528</v>
      </c>
      <c r="B497" s="3">
        <v>45963</v>
      </c>
      <c r="C497" s="2" t="s">
        <v>11</v>
      </c>
      <c r="D497" s="2" t="s">
        <v>23</v>
      </c>
      <c r="E497" s="2" t="s">
        <v>33</v>
      </c>
      <c r="F497" s="2">
        <v>17</v>
      </c>
      <c r="G497" s="15">
        <v>682.78</v>
      </c>
      <c r="H497" s="15">
        <v>11607.26</v>
      </c>
      <c r="I497" s="2">
        <v>5</v>
      </c>
      <c r="J497" s="15">
        <v>11026.9</v>
      </c>
    </row>
    <row r="498" spans="1:10" x14ac:dyDescent="0.3">
      <c r="A498" s="2" t="s">
        <v>529</v>
      </c>
      <c r="B498" s="3">
        <v>46040</v>
      </c>
      <c r="C498" s="2" t="s">
        <v>11</v>
      </c>
      <c r="D498" s="2" t="s">
        <v>60</v>
      </c>
      <c r="E498" s="2" t="s">
        <v>27</v>
      </c>
      <c r="F498" s="2">
        <v>9</v>
      </c>
      <c r="G498" s="15">
        <v>826.08</v>
      </c>
      <c r="H498" s="15">
        <v>7434.72</v>
      </c>
      <c r="I498" s="2">
        <v>20</v>
      </c>
      <c r="J498" s="15">
        <v>5947.78</v>
      </c>
    </row>
    <row r="499" spans="1:10" x14ac:dyDescent="0.3">
      <c r="A499" s="2" t="s">
        <v>530</v>
      </c>
      <c r="B499" s="3">
        <v>45928</v>
      </c>
      <c r="C499" s="2" t="s">
        <v>22</v>
      </c>
      <c r="D499" s="2" t="s">
        <v>29</v>
      </c>
      <c r="E499" s="2" t="s">
        <v>39</v>
      </c>
      <c r="F499" s="2">
        <v>17</v>
      </c>
      <c r="G499" s="15">
        <v>453.56</v>
      </c>
      <c r="H499" s="15">
        <v>7710.52</v>
      </c>
      <c r="I499" s="2">
        <v>15</v>
      </c>
      <c r="J499" s="15">
        <v>6553.94</v>
      </c>
    </row>
    <row r="500" spans="1:10" x14ac:dyDescent="0.3">
      <c r="A500" s="2" t="s">
        <v>531</v>
      </c>
      <c r="B500" s="3">
        <v>45847</v>
      </c>
      <c r="C500" s="2" t="s">
        <v>22</v>
      </c>
      <c r="D500" s="2" t="s">
        <v>44</v>
      </c>
      <c r="E500" s="2" t="s">
        <v>24</v>
      </c>
      <c r="F500" s="2">
        <v>12</v>
      </c>
      <c r="G500" s="15">
        <v>90.02</v>
      </c>
      <c r="H500" s="15">
        <v>1080.24</v>
      </c>
      <c r="I500" s="2">
        <v>0</v>
      </c>
      <c r="J500" s="15">
        <v>1080.24</v>
      </c>
    </row>
    <row r="501" spans="1:10" x14ac:dyDescent="0.3">
      <c r="A501" s="2" t="s">
        <v>532</v>
      </c>
      <c r="B501" s="3">
        <v>45808</v>
      </c>
      <c r="C501" s="2" t="s">
        <v>22</v>
      </c>
      <c r="D501" s="2" t="s">
        <v>23</v>
      </c>
      <c r="E501" s="2" t="s">
        <v>13</v>
      </c>
      <c r="F501" s="2">
        <v>3</v>
      </c>
      <c r="G501" s="15">
        <v>645.73</v>
      </c>
      <c r="H501" s="15">
        <v>1937.19</v>
      </c>
      <c r="I501" s="2">
        <v>5</v>
      </c>
      <c r="J501" s="15">
        <v>1840.33</v>
      </c>
    </row>
    <row r="502" spans="1:10" x14ac:dyDescent="0.3">
      <c r="A502" s="2" t="s">
        <v>533</v>
      </c>
      <c r="B502" s="3">
        <v>46116</v>
      </c>
      <c r="C502" s="2" t="s">
        <v>22</v>
      </c>
      <c r="D502" s="2" t="s">
        <v>29</v>
      </c>
      <c r="E502" s="2" t="s">
        <v>24</v>
      </c>
      <c r="F502" s="2">
        <v>8</v>
      </c>
      <c r="G502" s="15">
        <v>926.13</v>
      </c>
      <c r="H502" s="15">
        <v>7409.04</v>
      </c>
      <c r="I502" s="2">
        <v>10</v>
      </c>
      <c r="J502" s="15">
        <v>6668.14</v>
      </c>
    </row>
    <row r="503" spans="1:10" x14ac:dyDescent="0.3">
      <c r="A503" s="2" t="s">
        <v>534</v>
      </c>
      <c r="B503" s="3">
        <v>45831</v>
      </c>
      <c r="C503" s="2" t="s">
        <v>11</v>
      </c>
      <c r="D503" s="2" t="s">
        <v>29</v>
      </c>
      <c r="E503" s="2" t="s">
        <v>20</v>
      </c>
      <c r="F503" s="2">
        <v>5</v>
      </c>
      <c r="G503" s="15">
        <v>811.47</v>
      </c>
      <c r="H503" s="15">
        <v>4057.35</v>
      </c>
      <c r="I503" s="2">
        <v>10</v>
      </c>
      <c r="J503" s="15">
        <v>3651.61</v>
      </c>
    </row>
    <row r="504" spans="1:10" x14ac:dyDescent="0.3">
      <c r="A504" s="2" t="s">
        <v>535</v>
      </c>
      <c r="B504" s="3">
        <v>46031</v>
      </c>
      <c r="C504" s="2" t="s">
        <v>18</v>
      </c>
      <c r="D504" s="2" t="s">
        <v>19</v>
      </c>
      <c r="E504" s="2" t="s">
        <v>20</v>
      </c>
      <c r="F504" s="2">
        <v>11</v>
      </c>
      <c r="G504" s="15">
        <v>606.05999999999995</v>
      </c>
      <c r="H504" s="15">
        <v>6666.66</v>
      </c>
      <c r="I504" s="2">
        <v>20</v>
      </c>
      <c r="J504" s="15">
        <v>5333.33</v>
      </c>
    </row>
    <row r="505" spans="1:10" x14ac:dyDescent="0.3">
      <c r="A505" s="2" t="s">
        <v>536</v>
      </c>
      <c r="B505" s="3">
        <v>45865</v>
      </c>
      <c r="C505" s="2" t="s">
        <v>18</v>
      </c>
      <c r="D505" s="2" t="s">
        <v>16</v>
      </c>
      <c r="E505" s="2" t="s">
        <v>20</v>
      </c>
      <c r="F505" s="2">
        <v>5</v>
      </c>
      <c r="G505" s="15">
        <v>556.70000000000005</v>
      </c>
      <c r="H505" s="15">
        <v>2783.5</v>
      </c>
      <c r="I505" s="2">
        <v>15</v>
      </c>
      <c r="J505" s="15">
        <v>2365.9699999999998</v>
      </c>
    </row>
    <row r="506" spans="1:10" x14ac:dyDescent="0.3">
      <c r="A506" s="2" t="s">
        <v>537</v>
      </c>
      <c r="B506" s="3">
        <v>46140</v>
      </c>
      <c r="C506" s="2" t="s">
        <v>11</v>
      </c>
      <c r="D506" s="2" t="s">
        <v>23</v>
      </c>
      <c r="E506" s="2" t="s">
        <v>27</v>
      </c>
      <c r="F506" s="2">
        <v>10</v>
      </c>
      <c r="G506" s="15">
        <v>713.6</v>
      </c>
      <c r="H506" s="15">
        <v>7136</v>
      </c>
      <c r="I506" s="2">
        <v>15</v>
      </c>
      <c r="J506" s="15">
        <v>6065.6</v>
      </c>
    </row>
    <row r="507" spans="1:10" x14ac:dyDescent="0.3">
      <c r="A507" s="2" t="s">
        <v>538</v>
      </c>
      <c r="B507" s="3">
        <v>46072</v>
      </c>
      <c r="C507" s="2" t="s">
        <v>18</v>
      </c>
      <c r="D507" s="2" t="s">
        <v>44</v>
      </c>
      <c r="E507" s="2" t="s">
        <v>37</v>
      </c>
      <c r="F507" s="2">
        <v>17</v>
      </c>
      <c r="G507" s="15">
        <v>196.53</v>
      </c>
      <c r="H507" s="15">
        <v>3341.01</v>
      </c>
      <c r="I507" s="2">
        <v>15</v>
      </c>
      <c r="J507" s="15">
        <v>2839.86</v>
      </c>
    </row>
    <row r="508" spans="1:10" x14ac:dyDescent="0.3">
      <c r="A508" s="2" t="s">
        <v>539</v>
      </c>
      <c r="B508" s="3">
        <v>45801</v>
      </c>
      <c r="C508" s="2" t="s">
        <v>22</v>
      </c>
      <c r="D508" s="2" t="s">
        <v>52</v>
      </c>
      <c r="E508" s="2" t="s">
        <v>30</v>
      </c>
      <c r="F508" s="2">
        <v>6</v>
      </c>
      <c r="G508" s="15">
        <v>934.9</v>
      </c>
      <c r="H508" s="15">
        <v>5609.4</v>
      </c>
      <c r="I508" s="2">
        <v>20</v>
      </c>
      <c r="J508" s="15">
        <v>4487.5200000000004</v>
      </c>
    </row>
    <row r="509" spans="1:10" x14ac:dyDescent="0.3">
      <c r="A509" s="2" t="s">
        <v>540</v>
      </c>
      <c r="B509" s="3">
        <v>46160</v>
      </c>
      <c r="C509" s="2" t="s">
        <v>18</v>
      </c>
      <c r="D509" s="2" t="s">
        <v>19</v>
      </c>
      <c r="E509" s="2" t="s">
        <v>24</v>
      </c>
      <c r="F509" s="2">
        <v>5</v>
      </c>
      <c r="G509" s="15">
        <v>473.16</v>
      </c>
      <c r="H509" s="15">
        <v>2365.8000000000002</v>
      </c>
      <c r="I509" s="2">
        <v>0</v>
      </c>
      <c r="J509" s="15">
        <v>2365.8000000000002</v>
      </c>
    </row>
    <row r="510" spans="1:10" x14ac:dyDescent="0.3">
      <c r="A510" s="2" t="s">
        <v>541</v>
      </c>
      <c r="B510" s="3">
        <v>45902</v>
      </c>
      <c r="C510" s="2" t="s">
        <v>22</v>
      </c>
      <c r="D510" s="2" t="s">
        <v>44</v>
      </c>
      <c r="E510" s="2" t="s">
        <v>27</v>
      </c>
      <c r="F510" s="2">
        <v>15</v>
      </c>
      <c r="G510" s="15">
        <v>512.36</v>
      </c>
      <c r="H510" s="15">
        <v>7685.4</v>
      </c>
      <c r="I510" s="2">
        <v>5</v>
      </c>
      <c r="J510" s="15">
        <v>7301.13</v>
      </c>
    </row>
    <row r="511" spans="1:10" x14ac:dyDescent="0.3">
      <c r="A511" s="2" t="s">
        <v>542</v>
      </c>
      <c r="B511" s="3">
        <v>45916</v>
      </c>
      <c r="C511" s="2" t="s">
        <v>22</v>
      </c>
      <c r="D511" s="2" t="s">
        <v>44</v>
      </c>
      <c r="E511" s="2" t="s">
        <v>33</v>
      </c>
      <c r="F511" s="2">
        <v>10</v>
      </c>
      <c r="G511" s="15">
        <v>879.33</v>
      </c>
      <c r="H511" s="15">
        <v>8793.2999999999993</v>
      </c>
      <c r="I511" s="2">
        <v>15</v>
      </c>
      <c r="J511" s="15">
        <v>7474.3</v>
      </c>
    </row>
    <row r="512" spans="1:10" x14ac:dyDescent="0.3">
      <c r="A512" s="2" t="s">
        <v>543</v>
      </c>
      <c r="B512" s="3">
        <v>46030</v>
      </c>
      <c r="C512" s="2" t="s">
        <v>15</v>
      </c>
      <c r="D512" s="2" t="s">
        <v>23</v>
      </c>
      <c r="E512" s="2" t="s">
        <v>39</v>
      </c>
      <c r="F512" s="2">
        <v>14</v>
      </c>
      <c r="G512" s="15">
        <v>546.91</v>
      </c>
      <c r="H512" s="15">
        <v>7656.74</v>
      </c>
      <c r="I512" s="2">
        <v>15</v>
      </c>
      <c r="J512" s="15">
        <v>6508.23</v>
      </c>
    </row>
    <row r="513" spans="1:10" x14ac:dyDescent="0.3">
      <c r="A513" s="2" t="s">
        <v>544</v>
      </c>
      <c r="B513" s="3">
        <v>45827</v>
      </c>
      <c r="C513" s="2" t="s">
        <v>15</v>
      </c>
      <c r="D513" s="2" t="s">
        <v>16</v>
      </c>
      <c r="E513" s="2" t="s">
        <v>13</v>
      </c>
      <c r="F513" s="2">
        <v>2</v>
      </c>
      <c r="G513" s="15">
        <v>544.48</v>
      </c>
      <c r="H513" s="15">
        <v>1088.96</v>
      </c>
      <c r="I513" s="2">
        <v>15</v>
      </c>
      <c r="J513" s="15">
        <v>925.62</v>
      </c>
    </row>
    <row r="514" spans="1:10" x14ac:dyDescent="0.3">
      <c r="A514" s="2" t="s">
        <v>545</v>
      </c>
      <c r="B514" s="3">
        <v>45944</v>
      </c>
      <c r="C514" s="2" t="s">
        <v>11</v>
      </c>
      <c r="D514" s="2" t="s">
        <v>23</v>
      </c>
      <c r="E514" s="2" t="s">
        <v>27</v>
      </c>
      <c r="F514" s="2">
        <v>20</v>
      </c>
      <c r="G514" s="15">
        <v>968.16</v>
      </c>
      <c r="H514" s="15">
        <v>19363.2</v>
      </c>
      <c r="I514" s="2">
        <v>15</v>
      </c>
      <c r="J514" s="15">
        <v>16458.72</v>
      </c>
    </row>
    <row r="515" spans="1:10" x14ac:dyDescent="0.3">
      <c r="A515" s="2" t="s">
        <v>546</v>
      </c>
      <c r="B515" s="3">
        <v>45818</v>
      </c>
      <c r="C515" s="2" t="s">
        <v>22</v>
      </c>
      <c r="D515" s="2" t="s">
        <v>26</v>
      </c>
      <c r="E515" s="2" t="s">
        <v>39</v>
      </c>
      <c r="F515" s="2">
        <v>11</v>
      </c>
      <c r="G515" s="15">
        <v>651.83000000000004</v>
      </c>
      <c r="H515" s="15">
        <v>7170.13</v>
      </c>
      <c r="I515" s="2">
        <v>5</v>
      </c>
      <c r="J515" s="15">
        <v>6811.62</v>
      </c>
    </row>
    <row r="516" spans="1:10" x14ac:dyDescent="0.3">
      <c r="A516" s="2" t="s">
        <v>547</v>
      </c>
      <c r="B516" s="3">
        <v>46101</v>
      </c>
      <c r="C516" s="2" t="s">
        <v>18</v>
      </c>
      <c r="D516" s="2" t="s">
        <v>23</v>
      </c>
      <c r="E516" s="2" t="s">
        <v>27</v>
      </c>
      <c r="F516" s="2">
        <v>10</v>
      </c>
      <c r="G516" s="15">
        <v>743.65</v>
      </c>
      <c r="H516" s="15">
        <v>7436.5</v>
      </c>
      <c r="I516" s="2">
        <v>5</v>
      </c>
      <c r="J516" s="15">
        <v>7064.68</v>
      </c>
    </row>
    <row r="517" spans="1:10" x14ac:dyDescent="0.3">
      <c r="A517" s="2" t="s">
        <v>548</v>
      </c>
      <c r="B517" s="3">
        <v>46079</v>
      </c>
      <c r="C517" s="2" t="s">
        <v>15</v>
      </c>
      <c r="D517" s="2" t="s">
        <v>26</v>
      </c>
      <c r="E517" s="2" t="s">
        <v>30</v>
      </c>
      <c r="F517" s="2">
        <v>6</v>
      </c>
      <c r="G517" s="15">
        <v>178.69</v>
      </c>
      <c r="H517" s="15">
        <v>1072.1400000000001</v>
      </c>
      <c r="I517" s="2">
        <v>5</v>
      </c>
      <c r="J517" s="15">
        <v>1018.53</v>
      </c>
    </row>
    <row r="518" spans="1:10" x14ac:dyDescent="0.3">
      <c r="A518" s="2" t="s">
        <v>549</v>
      </c>
      <c r="B518" s="3">
        <v>46098</v>
      </c>
      <c r="C518" s="2" t="s">
        <v>15</v>
      </c>
      <c r="D518" s="2" t="s">
        <v>44</v>
      </c>
      <c r="E518" s="2" t="s">
        <v>87</v>
      </c>
      <c r="F518" s="2">
        <v>9</v>
      </c>
      <c r="G518" s="15">
        <v>766.26</v>
      </c>
      <c r="H518" s="15">
        <v>6896.34</v>
      </c>
      <c r="I518" s="2">
        <v>5</v>
      </c>
      <c r="J518" s="15">
        <v>6551.52</v>
      </c>
    </row>
    <row r="519" spans="1:10" x14ac:dyDescent="0.3">
      <c r="A519" s="2" t="s">
        <v>550</v>
      </c>
      <c r="B519" s="3">
        <v>45841</v>
      </c>
      <c r="C519" s="2" t="s">
        <v>18</v>
      </c>
      <c r="D519" s="2" t="s">
        <v>16</v>
      </c>
      <c r="E519" s="2" t="s">
        <v>39</v>
      </c>
      <c r="F519" s="2">
        <v>1</v>
      </c>
      <c r="G519" s="15">
        <v>848.18</v>
      </c>
      <c r="H519" s="15">
        <v>848.18</v>
      </c>
      <c r="I519" s="2">
        <v>5</v>
      </c>
      <c r="J519" s="15">
        <v>805.77</v>
      </c>
    </row>
    <row r="520" spans="1:10" x14ac:dyDescent="0.3">
      <c r="A520" s="2" t="s">
        <v>551</v>
      </c>
      <c r="B520" s="3">
        <v>46092</v>
      </c>
      <c r="C520" s="2" t="s">
        <v>15</v>
      </c>
      <c r="D520" s="2" t="s">
        <v>52</v>
      </c>
      <c r="E520" s="2" t="s">
        <v>30</v>
      </c>
      <c r="F520" s="2">
        <v>14</v>
      </c>
      <c r="G520" s="15">
        <v>461.4</v>
      </c>
      <c r="H520" s="15">
        <v>6459.6</v>
      </c>
      <c r="I520" s="2">
        <v>0</v>
      </c>
      <c r="J520" s="15">
        <v>6459.6</v>
      </c>
    </row>
    <row r="521" spans="1:10" x14ac:dyDescent="0.3">
      <c r="A521" s="2" t="s">
        <v>552</v>
      </c>
      <c r="B521" s="3">
        <v>46003</v>
      </c>
      <c r="C521" s="2" t="s">
        <v>15</v>
      </c>
      <c r="D521" s="2" t="s">
        <v>26</v>
      </c>
      <c r="E521" s="2" t="s">
        <v>20</v>
      </c>
      <c r="F521" s="2">
        <v>18</v>
      </c>
      <c r="G521" s="15">
        <v>291.66000000000003</v>
      </c>
      <c r="H521" s="15">
        <v>5249.88</v>
      </c>
      <c r="I521" s="2">
        <v>15</v>
      </c>
      <c r="J521" s="15">
        <v>4462.3999999999996</v>
      </c>
    </row>
    <row r="522" spans="1:10" x14ac:dyDescent="0.3">
      <c r="A522" s="2" t="s">
        <v>553</v>
      </c>
      <c r="B522" s="3">
        <v>46090</v>
      </c>
      <c r="C522" s="2" t="s">
        <v>22</v>
      </c>
      <c r="D522" s="2" t="s">
        <v>52</v>
      </c>
      <c r="E522" s="2" t="s">
        <v>24</v>
      </c>
      <c r="F522" s="2">
        <v>9</v>
      </c>
      <c r="G522" s="15">
        <v>364.51</v>
      </c>
      <c r="H522" s="15">
        <v>3280.59</v>
      </c>
      <c r="I522" s="2">
        <v>0</v>
      </c>
      <c r="J522" s="15">
        <v>3280.59</v>
      </c>
    </row>
    <row r="523" spans="1:10" x14ac:dyDescent="0.3">
      <c r="A523" s="2" t="s">
        <v>554</v>
      </c>
      <c r="B523" s="3">
        <v>45981</v>
      </c>
      <c r="C523" s="2" t="s">
        <v>15</v>
      </c>
      <c r="D523" s="2" t="s">
        <v>52</v>
      </c>
      <c r="E523" s="2" t="s">
        <v>27</v>
      </c>
      <c r="F523" s="2">
        <v>3</v>
      </c>
      <c r="G523" s="15">
        <v>389.68</v>
      </c>
      <c r="H523" s="15">
        <v>1169.04</v>
      </c>
      <c r="I523" s="2">
        <v>10</v>
      </c>
      <c r="J523" s="15">
        <v>1052.1400000000001</v>
      </c>
    </row>
    <row r="524" spans="1:10" x14ac:dyDescent="0.3">
      <c r="A524" s="2" t="s">
        <v>555</v>
      </c>
      <c r="B524" s="3">
        <v>45996</v>
      </c>
      <c r="C524" s="2" t="s">
        <v>18</v>
      </c>
      <c r="D524" s="2" t="s">
        <v>23</v>
      </c>
      <c r="E524" s="2" t="s">
        <v>20</v>
      </c>
      <c r="F524" s="2">
        <v>18</v>
      </c>
      <c r="G524" s="15">
        <v>254.67</v>
      </c>
      <c r="H524" s="15">
        <v>4584.0600000000004</v>
      </c>
      <c r="I524" s="2">
        <v>5</v>
      </c>
      <c r="J524" s="15">
        <v>4354.8599999999997</v>
      </c>
    </row>
    <row r="525" spans="1:10" x14ac:dyDescent="0.3">
      <c r="A525" s="2" t="s">
        <v>556</v>
      </c>
      <c r="B525" s="3">
        <v>45937</v>
      </c>
      <c r="C525" s="2" t="s">
        <v>15</v>
      </c>
      <c r="D525" s="2" t="s">
        <v>26</v>
      </c>
      <c r="E525" s="2" t="s">
        <v>13</v>
      </c>
      <c r="F525" s="2">
        <v>3</v>
      </c>
      <c r="G525" s="15">
        <v>330.85</v>
      </c>
      <c r="H525" s="15">
        <v>992.55</v>
      </c>
      <c r="I525" s="2">
        <v>5</v>
      </c>
      <c r="J525" s="15">
        <v>942.92</v>
      </c>
    </row>
    <row r="526" spans="1:10" x14ac:dyDescent="0.3">
      <c r="A526" s="2" t="s">
        <v>557</v>
      </c>
      <c r="B526" s="3">
        <v>46109</v>
      </c>
      <c r="C526" s="2" t="s">
        <v>18</v>
      </c>
      <c r="D526" s="2" t="s">
        <v>26</v>
      </c>
      <c r="E526" s="2" t="s">
        <v>76</v>
      </c>
      <c r="F526" s="2">
        <v>7</v>
      </c>
      <c r="G526" s="15">
        <v>420.76</v>
      </c>
      <c r="H526" s="15">
        <v>2945.32</v>
      </c>
      <c r="I526" s="2">
        <v>0</v>
      </c>
      <c r="J526" s="15">
        <v>2945.32</v>
      </c>
    </row>
    <row r="527" spans="1:10" x14ac:dyDescent="0.3">
      <c r="A527" s="2" t="s">
        <v>558</v>
      </c>
      <c r="B527" s="3">
        <v>46123</v>
      </c>
      <c r="C527" s="2" t="s">
        <v>15</v>
      </c>
      <c r="D527" s="2" t="s">
        <v>29</v>
      </c>
      <c r="E527" s="2" t="s">
        <v>20</v>
      </c>
      <c r="F527" s="2">
        <v>7</v>
      </c>
      <c r="G527" s="15">
        <v>892.14</v>
      </c>
      <c r="H527" s="15">
        <v>6244.98</v>
      </c>
      <c r="I527" s="2">
        <v>5</v>
      </c>
      <c r="J527" s="15">
        <v>5932.73</v>
      </c>
    </row>
    <row r="528" spans="1:10" x14ac:dyDescent="0.3">
      <c r="A528" s="2" t="s">
        <v>559</v>
      </c>
      <c r="B528" s="3">
        <v>46072</v>
      </c>
      <c r="C528" s="2" t="s">
        <v>11</v>
      </c>
      <c r="D528" s="2" t="s">
        <v>26</v>
      </c>
      <c r="E528" s="2" t="s">
        <v>87</v>
      </c>
      <c r="F528" s="2">
        <v>11</v>
      </c>
      <c r="G528" s="15">
        <v>402.6</v>
      </c>
      <c r="H528" s="15">
        <v>4428.6000000000004</v>
      </c>
      <c r="I528" s="2">
        <v>15</v>
      </c>
      <c r="J528" s="15">
        <v>3764.31</v>
      </c>
    </row>
    <row r="529" spans="1:10" x14ac:dyDescent="0.3">
      <c r="A529" s="2" t="s">
        <v>560</v>
      </c>
      <c r="B529" s="3">
        <v>45919</v>
      </c>
      <c r="C529" s="2" t="s">
        <v>11</v>
      </c>
      <c r="D529" s="2" t="s">
        <v>32</v>
      </c>
      <c r="E529" s="2" t="s">
        <v>20</v>
      </c>
      <c r="F529" s="2">
        <v>7</v>
      </c>
      <c r="G529" s="15">
        <v>676.31</v>
      </c>
      <c r="H529" s="15">
        <v>4734.17</v>
      </c>
      <c r="I529" s="2">
        <v>15</v>
      </c>
      <c r="J529" s="15">
        <v>4024.04</v>
      </c>
    </row>
    <row r="530" spans="1:10" x14ac:dyDescent="0.3">
      <c r="A530" s="2" t="s">
        <v>561</v>
      </c>
      <c r="B530" s="3">
        <v>45903</v>
      </c>
      <c r="C530" s="2" t="s">
        <v>11</v>
      </c>
      <c r="D530" s="2" t="s">
        <v>12</v>
      </c>
      <c r="E530" s="2" t="s">
        <v>30</v>
      </c>
      <c r="F530" s="2">
        <v>13</v>
      </c>
      <c r="G530" s="15">
        <v>483.38</v>
      </c>
      <c r="H530" s="15">
        <v>6283.94</v>
      </c>
      <c r="I530" s="2">
        <v>5</v>
      </c>
      <c r="J530" s="15">
        <v>5969.74</v>
      </c>
    </row>
    <row r="531" spans="1:10" x14ac:dyDescent="0.3">
      <c r="A531" s="2" t="s">
        <v>562</v>
      </c>
      <c r="B531" s="3">
        <v>46164</v>
      </c>
      <c r="C531" s="2" t="s">
        <v>18</v>
      </c>
      <c r="D531" s="2" t="s">
        <v>29</v>
      </c>
      <c r="E531" s="2" t="s">
        <v>27</v>
      </c>
      <c r="F531" s="2">
        <v>10</v>
      </c>
      <c r="G531" s="15">
        <v>90.92</v>
      </c>
      <c r="H531" s="15">
        <v>909.2</v>
      </c>
      <c r="I531" s="2">
        <v>15</v>
      </c>
      <c r="J531" s="15">
        <v>772.82</v>
      </c>
    </row>
    <row r="532" spans="1:10" x14ac:dyDescent="0.3">
      <c r="A532" s="2" t="s">
        <v>563</v>
      </c>
      <c r="B532" s="3">
        <v>45980</v>
      </c>
      <c r="C532" s="2" t="s">
        <v>11</v>
      </c>
      <c r="D532" s="2" t="s">
        <v>26</v>
      </c>
      <c r="E532" s="2" t="s">
        <v>30</v>
      </c>
      <c r="F532" s="2">
        <v>16</v>
      </c>
      <c r="G532" s="15">
        <v>74.2</v>
      </c>
      <c r="H532" s="15">
        <v>1187.2</v>
      </c>
      <c r="I532" s="2">
        <v>20</v>
      </c>
      <c r="J532" s="15">
        <v>949.76</v>
      </c>
    </row>
    <row r="533" spans="1:10" x14ac:dyDescent="0.3">
      <c r="A533" s="2" t="s">
        <v>564</v>
      </c>
      <c r="B533" s="3">
        <v>46125</v>
      </c>
      <c r="C533" s="2" t="s">
        <v>18</v>
      </c>
      <c r="D533" s="2" t="s">
        <v>44</v>
      </c>
      <c r="E533" s="2" t="s">
        <v>24</v>
      </c>
      <c r="F533" s="2">
        <v>18</v>
      </c>
      <c r="G533" s="15">
        <v>212.48</v>
      </c>
      <c r="H533" s="15">
        <v>3824.64</v>
      </c>
      <c r="I533" s="2">
        <v>20</v>
      </c>
      <c r="J533" s="15">
        <v>3059.71</v>
      </c>
    </row>
    <row r="534" spans="1:10" x14ac:dyDescent="0.3">
      <c r="A534" s="2" t="s">
        <v>565</v>
      </c>
      <c r="B534" s="3">
        <v>46048</v>
      </c>
      <c r="C534" s="2" t="s">
        <v>18</v>
      </c>
      <c r="D534" s="2" t="s">
        <v>60</v>
      </c>
      <c r="E534" s="2" t="s">
        <v>33</v>
      </c>
      <c r="F534" s="2">
        <v>11</v>
      </c>
      <c r="G534" s="15">
        <v>880.3</v>
      </c>
      <c r="H534" s="15">
        <v>9683.2999999999993</v>
      </c>
      <c r="I534" s="2">
        <v>5</v>
      </c>
      <c r="J534" s="15">
        <v>9199.1299999999992</v>
      </c>
    </row>
    <row r="535" spans="1:10" x14ac:dyDescent="0.3">
      <c r="A535" s="2" t="s">
        <v>566</v>
      </c>
      <c r="B535" s="3">
        <v>45907</v>
      </c>
      <c r="C535" s="2" t="s">
        <v>15</v>
      </c>
      <c r="D535" s="2" t="s">
        <v>19</v>
      </c>
      <c r="E535" s="2" t="s">
        <v>37</v>
      </c>
      <c r="F535" s="2">
        <v>20</v>
      </c>
      <c r="G535" s="15">
        <v>480.18</v>
      </c>
      <c r="H535" s="15">
        <v>9603.6</v>
      </c>
      <c r="I535" s="2">
        <v>15</v>
      </c>
      <c r="J535" s="15">
        <v>8163.06</v>
      </c>
    </row>
    <row r="536" spans="1:10" x14ac:dyDescent="0.3">
      <c r="A536" s="2" t="s">
        <v>567</v>
      </c>
      <c r="B536" s="3">
        <v>45882</v>
      </c>
      <c r="C536" s="2" t="s">
        <v>11</v>
      </c>
      <c r="D536" s="2" t="s">
        <v>12</v>
      </c>
      <c r="E536" s="2" t="s">
        <v>33</v>
      </c>
      <c r="F536" s="2">
        <v>18</v>
      </c>
      <c r="G536" s="15">
        <v>755.99</v>
      </c>
      <c r="H536" s="15">
        <v>13607.82</v>
      </c>
      <c r="I536" s="2">
        <v>20</v>
      </c>
      <c r="J536" s="15">
        <v>10886.26</v>
      </c>
    </row>
    <row r="537" spans="1:10" x14ac:dyDescent="0.3">
      <c r="A537" s="2" t="s">
        <v>568</v>
      </c>
      <c r="B537" s="3">
        <v>46117</v>
      </c>
      <c r="C537" s="2" t="s">
        <v>22</v>
      </c>
      <c r="D537" s="2" t="s">
        <v>52</v>
      </c>
      <c r="E537" s="2" t="s">
        <v>76</v>
      </c>
      <c r="F537" s="2">
        <v>6</v>
      </c>
      <c r="G537" s="15">
        <v>823.05</v>
      </c>
      <c r="H537" s="15">
        <v>4938.3</v>
      </c>
      <c r="I537" s="2">
        <v>20</v>
      </c>
      <c r="J537" s="15">
        <v>3950.64</v>
      </c>
    </row>
    <row r="538" spans="1:10" x14ac:dyDescent="0.3">
      <c r="A538" s="2" t="s">
        <v>569</v>
      </c>
      <c r="B538" s="3">
        <v>46157</v>
      </c>
      <c r="C538" s="2" t="s">
        <v>18</v>
      </c>
      <c r="D538" s="2" t="s">
        <v>44</v>
      </c>
      <c r="E538" s="2" t="s">
        <v>37</v>
      </c>
      <c r="F538" s="2">
        <v>1</v>
      </c>
      <c r="G538" s="15">
        <v>61.92</v>
      </c>
      <c r="H538" s="15">
        <v>61.92</v>
      </c>
      <c r="I538" s="2">
        <v>15</v>
      </c>
      <c r="J538" s="15">
        <v>52.63</v>
      </c>
    </row>
    <row r="539" spans="1:10" x14ac:dyDescent="0.3">
      <c r="A539" s="2" t="s">
        <v>570</v>
      </c>
      <c r="B539" s="3">
        <v>46038</v>
      </c>
      <c r="C539" s="2" t="s">
        <v>18</v>
      </c>
      <c r="D539" s="2" t="s">
        <v>60</v>
      </c>
      <c r="E539" s="2" t="s">
        <v>33</v>
      </c>
      <c r="F539" s="2">
        <v>18</v>
      </c>
      <c r="G539" s="15">
        <v>412.56</v>
      </c>
      <c r="H539" s="15">
        <v>7426.08</v>
      </c>
      <c r="I539" s="2">
        <v>20</v>
      </c>
      <c r="J539" s="15">
        <v>5940.86</v>
      </c>
    </row>
    <row r="540" spans="1:10" x14ac:dyDescent="0.3">
      <c r="A540" s="2" t="s">
        <v>571</v>
      </c>
      <c r="B540" s="3">
        <v>46023</v>
      </c>
      <c r="C540" s="2" t="s">
        <v>15</v>
      </c>
      <c r="D540" s="2" t="s">
        <v>26</v>
      </c>
      <c r="E540" s="2" t="s">
        <v>13</v>
      </c>
      <c r="F540" s="2">
        <v>3</v>
      </c>
      <c r="G540" s="15">
        <v>135.83000000000001</v>
      </c>
      <c r="H540" s="15">
        <v>407.49</v>
      </c>
      <c r="I540" s="2">
        <v>15</v>
      </c>
      <c r="J540" s="15">
        <v>346.37</v>
      </c>
    </row>
    <row r="541" spans="1:10" x14ac:dyDescent="0.3">
      <c r="A541" s="2" t="s">
        <v>572</v>
      </c>
      <c r="B541" s="3">
        <v>45836</v>
      </c>
      <c r="C541" s="2" t="s">
        <v>22</v>
      </c>
      <c r="D541" s="2" t="s">
        <v>12</v>
      </c>
      <c r="E541" s="2" t="s">
        <v>24</v>
      </c>
      <c r="F541" s="2">
        <v>7</v>
      </c>
      <c r="G541" s="15">
        <v>933.39</v>
      </c>
      <c r="H541" s="15">
        <v>6533.73</v>
      </c>
      <c r="I541" s="2">
        <v>20</v>
      </c>
      <c r="J541" s="15">
        <v>5226.9799999999996</v>
      </c>
    </row>
    <row r="542" spans="1:10" x14ac:dyDescent="0.3">
      <c r="A542" s="2" t="s">
        <v>573</v>
      </c>
      <c r="B542" s="3">
        <v>45930</v>
      </c>
      <c r="C542" s="2" t="s">
        <v>22</v>
      </c>
      <c r="D542" s="2" t="s">
        <v>23</v>
      </c>
      <c r="E542" s="2" t="s">
        <v>37</v>
      </c>
      <c r="F542" s="2">
        <v>5</v>
      </c>
      <c r="G542" s="15">
        <v>806.65</v>
      </c>
      <c r="H542" s="15">
        <v>4033.25</v>
      </c>
      <c r="I542" s="2">
        <v>20</v>
      </c>
      <c r="J542" s="15">
        <v>3226.6</v>
      </c>
    </row>
    <row r="543" spans="1:10" x14ac:dyDescent="0.3">
      <c r="A543" s="2" t="s">
        <v>574</v>
      </c>
      <c r="B543" s="3">
        <v>46154</v>
      </c>
      <c r="C543" s="2" t="s">
        <v>15</v>
      </c>
      <c r="D543" s="2" t="s">
        <v>19</v>
      </c>
      <c r="E543" s="2" t="s">
        <v>87</v>
      </c>
      <c r="F543" s="2">
        <v>12</v>
      </c>
      <c r="G543" s="15">
        <v>598.59</v>
      </c>
      <c r="H543" s="15">
        <v>7183.08</v>
      </c>
      <c r="I543" s="2">
        <v>15</v>
      </c>
      <c r="J543" s="15">
        <v>6105.62</v>
      </c>
    </row>
    <row r="544" spans="1:10" x14ac:dyDescent="0.3">
      <c r="A544" s="2" t="s">
        <v>575</v>
      </c>
      <c r="B544" s="3">
        <v>45930</v>
      </c>
      <c r="C544" s="2" t="s">
        <v>18</v>
      </c>
      <c r="D544" s="2" t="s">
        <v>19</v>
      </c>
      <c r="E544" s="2" t="s">
        <v>20</v>
      </c>
      <c r="F544" s="2">
        <v>12</v>
      </c>
      <c r="G544" s="15">
        <v>927.94</v>
      </c>
      <c r="H544" s="15">
        <v>11135.28</v>
      </c>
      <c r="I544" s="2">
        <v>10</v>
      </c>
      <c r="J544" s="15">
        <v>10021.75</v>
      </c>
    </row>
    <row r="545" spans="1:10" x14ac:dyDescent="0.3">
      <c r="A545" s="2" t="s">
        <v>576</v>
      </c>
      <c r="B545" s="3">
        <v>45821</v>
      </c>
      <c r="C545" s="2" t="s">
        <v>15</v>
      </c>
      <c r="D545" s="2" t="s">
        <v>60</v>
      </c>
      <c r="E545" s="2" t="s">
        <v>87</v>
      </c>
      <c r="F545" s="2">
        <v>20</v>
      </c>
      <c r="G545" s="15">
        <v>536.46</v>
      </c>
      <c r="H545" s="15">
        <v>10729.2</v>
      </c>
      <c r="I545" s="2">
        <v>15</v>
      </c>
      <c r="J545" s="15">
        <v>9119.82</v>
      </c>
    </row>
    <row r="546" spans="1:10" x14ac:dyDescent="0.3">
      <c r="A546" s="2" t="s">
        <v>577</v>
      </c>
      <c r="B546" s="3">
        <v>46133</v>
      </c>
      <c r="C546" s="2" t="s">
        <v>15</v>
      </c>
      <c r="D546" s="2" t="s">
        <v>26</v>
      </c>
      <c r="E546" s="2" t="s">
        <v>33</v>
      </c>
      <c r="F546" s="2">
        <v>18</v>
      </c>
      <c r="G546" s="15">
        <v>275.64999999999998</v>
      </c>
      <c r="H546" s="15">
        <v>4961.7</v>
      </c>
      <c r="I546" s="2">
        <v>5</v>
      </c>
      <c r="J546" s="15">
        <v>4713.6099999999997</v>
      </c>
    </row>
    <row r="547" spans="1:10" x14ac:dyDescent="0.3">
      <c r="A547" s="2" t="s">
        <v>578</v>
      </c>
      <c r="B547" s="3">
        <v>46082</v>
      </c>
      <c r="C547" s="2" t="s">
        <v>11</v>
      </c>
      <c r="D547" s="2" t="s">
        <v>26</v>
      </c>
      <c r="E547" s="2" t="s">
        <v>24</v>
      </c>
      <c r="F547" s="2">
        <v>7</v>
      </c>
      <c r="G547" s="15">
        <v>754.38</v>
      </c>
      <c r="H547" s="15">
        <v>5280.66</v>
      </c>
      <c r="I547" s="2">
        <v>10</v>
      </c>
      <c r="J547" s="15">
        <v>4752.59</v>
      </c>
    </row>
    <row r="548" spans="1:10" x14ac:dyDescent="0.3">
      <c r="A548" s="2" t="s">
        <v>579</v>
      </c>
      <c r="B548" s="3">
        <v>45990</v>
      </c>
      <c r="C548" s="2" t="s">
        <v>11</v>
      </c>
      <c r="D548" s="2" t="s">
        <v>29</v>
      </c>
      <c r="E548" s="2" t="s">
        <v>33</v>
      </c>
      <c r="F548" s="2">
        <v>2</v>
      </c>
      <c r="G548" s="15">
        <v>152.99</v>
      </c>
      <c r="H548" s="15">
        <v>305.98</v>
      </c>
      <c r="I548" s="2">
        <v>5</v>
      </c>
      <c r="J548" s="15">
        <v>290.68</v>
      </c>
    </row>
    <row r="549" spans="1:10" x14ac:dyDescent="0.3">
      <c r="A549" s="2" t="s">
        <v>580</v>
      </c>
      <c r="B549" s="3">
        <v>45912</v>
      </c>
      <c r="C549" s="2" t="s">
        <v>22</v>
      </c>
      <c r="D549" s="2" t="s">
        <v>12</v>
      </c>
      <c r="E549" s="2" t="s">
        <v>24</v>
      </c>
      <c r="F549" s="2">
        <v>4</v>
      </c>
      <c r="G549" s="15">
        <v>871.35</v>
      </c>
      <c r="H549" s="15">
        <v>3485.4</v>
      </c>
      <c r="I549" s="2">
        <v>10</v>
      </c>
      <c r="J549" s="15">
        <v>3136.86</v>
      </c>
    </row>
    <row r="550" spans="1:10" x14ac:dyDescent="0.3">
      <c r="A550" s="2" t="s">
        <v>581</v>
      </c>
      <c r="B550" s="3">
        <v>45953</v>
      </c>
      <c r="C550" s="2" t="s">
        <v>22</v>
      </c>
      <c r="D550" s="2" t="s">
        <v>16</v>
      </c>
      <c r="E550" s="2" t="s">
        <v>76</v>
      </c>
      <c r="F550" s="2">
        <v>9</v>
      </c>
      <c r="G550" s="15">
        <v>104.43</v>
      </c>
      <c r="H550" s="15">
        <v>939.87</v>
      </c>
      <c r="I550" s="2">
        <v>0</v>
      </c>
      <c r="J550" s="15">
        <v>939.87</v>
      </c>
    </row>
    <row r="551" spans="1:10" x14ac:dyDescent="0.3">
      <c r="A551" s="2" t="s">
        <v>582</v>
      </c>
      <c r="B551" s="3">
        <v>45834</v>
      </c>
      <c r="C551" s="2" t="s">
        <v>22</v>
      </c>
      <c r="D551" s="2" t="s">
        <v>26</v>
      </c>
      <c r="E551" s="2" t="s">
        <v>30</v>
      </c>
      <c r="F551" s="2">
        <v>1</v>
      </c>
      <c r="G551" s="15">
        <v>785.89</v>
      </c>
      <c r="H551" s="15">
        <v>785.89</v>
      </c>
      <c r="I551" s="2">
        <v>10</v>
      </c>
      <c r="J551" s="15">
        <v>707.3</v>
      </c>
    </row>
    <row r="552" spans="1:10" x14ac:dyDescent="0.3">
      <c r="A552" s="2" t="s">
        <v>583</v>
      </c>
      <c r="B552" s="3">
        <v>46054</v>
      </c>
      <c r="C552" s="2" t="s">
        <v>18</v>
      </c>
      <c r="D552" s="2" t="s">
        <v>60</v>
      </c>
      <c r="E552" s="2" t="s">
        <v>87</v>
      </c>
      <c r="F552" s="2">
        <v>2</v>
      </c>
      <c r="G552" s="15">
        <v>612.98</v>
      </c>
      <c r="H552" s="15">
        <v>1225.96</v>
      </c>
      <c r="I552" s="2">
        <v>15</v>
      </c>
      <c r="J552" s="15">
        <v>1042.07</v>
      </c>
    </row>
    <row r="553" spans="1:10" x14ac:dyDescent="0.3">
      <c r="A553" s="2" t="s">
        <v>584</v>
      </c>
      <c r="B553" s="3">
        <v>46082</v>
      </c>
      <c r="C553" s="2" t="s">
        <v>15</v>
      </c>
      <c r="D553" s="2" t="s">
        <v>44</v>
      </c>
      <c r="E553" s="2" t="s">
        <v>76</v>
      </c>
      <c r="F553" s="2">
        <v>20</v>
      </c>
      <c r="G553" s="15">
        <v>814.71</v>
      </c>
      <c r="H553" s="15">
        <v>16294.2</v>
      </c>
      <c r="I553" s="2">
        <v>5</v>
      </c>
      <c r="J553" s="15">
        <v>15479.49</v>
      </c>
    </row>
    <row r="554" spans="1:10" x14ac:dyDescent="0.3">
      <c r="A554" s="2" t="s">
        <v>585</v>
      </c>
      <c r="B554" s="3">
        <v>46030</v>
      </c>
      <c r="C554" s="2" t="s">
        <v>11</v>
      </c>
      <c r="D554" s="2" t="s">
        <v>32</v>
      </c>
      <c r="E554" s="2" t="s">
        <v>39</v>
      </c>
      <c r="F554" s="2">
        <v>7</v>
      </c>
      <c r="G554" s="15">
        <v>524.1</v>
      </c>
      <c r="H554" s="15">
        <v>3668.7</v>
      </c>
      <c r="I554" s="2">
        <v>0</v>
      </c>
      <c r="J554" s="15">
        <v>3668.7</v>
      </c>
    </row>
    <row r="555" spans="1:10" x14ac:dyDescent="0.3">
      <c r="A555" s="2" t="s">
        <v>586</v>
      </c>
      <c r="B555" s="3">
        <v>45997</v>
      </c>
      <c r="C555" s="2" t="s">
        <v>11</v>
      </c>
      <c r="D555" s="2" t="s">
        <v>12</v>
      </c>
      <c r="E555" s="2" t="s">
        <v>20</v>
      </c>
      <c r="F555" s="2">
        <v>7</v>
      </c>
      <c r="G555" s="15">
        <v>832.97</v>
      </c>
      <c r="H555" s="15">
        <v>5830.79</v>
      </c>
      <c r="I555" s="2">
        <v>10</v>
      </c>
      <c r="J555" s="15">
        <v>5247.71</v>
      </c>
    </row>
    <row r="556" spans="1:10" x14ac:dyDescent="0.3">
      <c r="A556" s="2" t="s">
        <v>587</v>
      </c>
      <c r="B556" s="3">
        <v>45911</v>
      </c>
      <c r="C556" s="2" t="s">
        <v>22</v>
      </c>
      <c r="D556" s="2" t="s">
        <v>23</v>
      </c>
      <c r="E556" s="2" t="s">
        <v>27</v>
      </c>
      <c r="F556" s="2">
        <v>10</v>
      </c>
      <c r="G556" s="15">
        <v>652.73</v>
      </c>
      <c r="H556" s="15">
        <v>6527.3</v>
      </c>
      <c r="I556" s="2">
        <v>0</v>
      </c>
      <c r="J556" s="15">
        <v>6527.3</v>
      </c>
    </row>
    <row r="557" spans="1:10" x14ac:dyDescent="0.3">
      <c r="A557" s="2" t="s">
        <v>588</v>
      </c>
      <c r="B557" s="3">
        <v>46026</v>
      </c>
      <c r="C557" s="2" t="s">
        <v>15</v>
      </c>
      <c r="D557" s="2" t="s">
        <v>44</v>
      </c>
      <c r="E557" s="2" t="s">
        <v>33</v>
      </c>
      <c r="F557" s="2">
        <v>13</v>
      </c>
      <c r="G557" s="15">
        <v>706.27</v>
      </c>
      <c r="H557" s="15">
        <v>9181.51</v>
      </c>
      <c r="I557" s="2">
        <v>10</v>
      </c>
      <c r="J557" s="15">
        <v>8263.36</v>
      </c>
    </row>
    <row r="558" spans="1:10" x14ac:dyDescent="0.3">
      <c r="A558" s="2" t="s">
        <v>589</v>
      </c>
      <c r="B558" s="3">
        <v>45814</v>
      </c>
      <c r="C558" s="2" t="s">
        <v>11</v>
      </c>
      <c r="D558" s="2" t="s">
        <v>32</v>
      </c>
      <c r="E558" s="2" t="s">
        <v>24</v>
      </c>
      <c r="F558" s="2">
        <v>20</v>
      </c>
      <c r="G558" s="15">
        <v>107.1</v>
      </c>
      <c r="H558" s="15">
        <v>2142</v>
      </c>
      <c r="I558" s="2">
        <v>20</v>
      </c>
      <c r="J558" s="15">
        <v>1713.6</v>
      </c>
    </row>
    <row r="559" spans="1:10" x14ac:dyDescent="0.3">
      <c r="A559" s="2" t="s">
        <v>590</v>
      </c>
      <c r="B559" s="3">
        <v>45877</v>
      </c>
      <c r="C559" s="2" t="s">
        <v>11</v>
      </c>
      <c r="D559" s="2" t="s">
        <v>44</v>
      </c>
      <c r="E559" s="2" t="s">
        <v>37</v>
      </c>
      <c r="F559" s="2">
        <v>18</v>
      </c>
      <c r="G559" s="15">
        <v>670.4</v>
      </c>
      <c r="H559" s="15">
        <v>12067.2</v>
      </c>
      <c r="I559" s="2">
        <v>20</v>
      </c>
      <c r="J559" s="15">
        <v>9653.76</v>
      </c>
    </row>
    <row r="560" spans="1:10" x14ac:dyDescent="0.3">
      <c r="A560" s="2" t="s">
        <v>591</v>
      </c>
      <c r="B560" s="3">
        <v>46145</v>
      </c>
      <c r="C560" s="2" t="s">
        <v>22</v>
      </c>
      <c r="D560" s="2" t="s">
        <v>12</v>
      </c>
      <c r="E560" s="2" t="s">
        <v>27</v>
      </c>
      <c r="F560" s="2">
        <v>18</v>
      </c>
      <c r="G560" s="15">
        <v>929.3</v>
      </c>
      <c r="H560" s="15">
        <v>16727.400000000001</v>
      </c>
      <c r="I560" s="2">
        <v>20</v>
      </c>
      <c r="J560" s="15">
        <v>13381.92</v>
      </c>
    </row>
    <row r="561" spans="1:10" x14ac:dyDescent="0.3">
      <c r="A561" s="2" t="s">
        <v>592</v>
      </c>
      <c r="B561" s="3">
        <v>45954</v>
      </c>
      <c r="C561" s="2" t="s">
        <v>11</v>
      </c>
      <c r="D561" s="2" t="s">
        <v>32</v>
      </c>
      <c r="E561" s="2" t="s">
        <v>39</v>
      </c>
      <c r="F561" s="2">
        <v>7</v>
      </c>
      <c r="G561" s="15">
        <v>190.39</v>
      </c>
      <c r="H561" s="15">
        <v>1332.73</v>
      </c>
      <c r="I561" s="2">
        <v>5</v>
      </c>
      <c r="J561" s="15">
        <v>1266.0899999999999</v>
      </c>
    </row>
    <row r="562" spans="1:10" x14ac:dyDescent="0.3">
      <c r="A562" s="2" t="s">
        <v>593</v>
      </c>
      <c r="B562" s="3">
        <v>45871</v>
      </c>
      <c r="C562" s="2" t="s">
        <v>22</v>
      </c>
      <c r="D562" s="2" t="s">
        <v>32</v>
      </c>
      <c r="E562" s="2" t="s">
        <v>24</v>
      </c>
      <c r="F562" s="2">
        <v>3</v>
      </c>
      <c r="G562" s="15">
        <v>396.48</v>
      </c>
      <c r="H562" s="15">
        <v>1189.44</v>
      </c>
      <c r="I562" s="2">
        <v>15</v>
      </c>
      <c r="J562" s="15">
        <v>1011.02</v>
      </c>
    </row>
    <row r="563" spans="1:10" x14ac:dyDescent="0.3">
      <c r="A563" s="2" t="s">
        <v>594</v>
      </c>
      <c r="B563" s="3">
        <v>45875</v>
      </c>
      <c r="C563" s="2" t="s">
        <v>18</v>
      </c>
      <c r="D563" s="2" t="s">
        <v>32</v>
      </c>
      <c r="E563" s="2" t="s">
        <v>39</v>
      </c>
      <c r="F563" s="2">
        <v>16</v>
      </c>
      <c r="G563" s="15">
        <v>757.89</v>
      </c>
      <c r="H563" s="15">
        <v>12126.24</v>
      </c>
      <c r="I563" s="2">
        <v>0</v>
      </c>
      <c r="J563" s="15">
        <v>12126.24</v>
      </c>
    </row>
    <row r="564" spans="1:10" x14ac:dyDescent="0.3">
      <c r="A564" s="2" t="s">
        <v>595</v>
      </c>
      <c r="B564" s="3">
        <v>46123</v>
      </c>
      <c r="C564" s="2" t="s">
        <v>15</v>
      </c>
      <c r="D564" s="2" t="s">
        <v>32</v>
      </c>
      <c r="E564" s="2" t="s">
        <v>37</v>
      </c>
      <c r="F564" s="2">
        <v>3</v>
      </c>
      <c r="G564" s="15">
        <v>962.07</v>
      </c>
      <c r="H564" s="15">
        <v>2886.21</v>
      </c>
      <c r="I564" s="2">
        <v>15</v>
      </c>
      <c r="J564" s="15">
        <v>2453.2800000000002</v>
      </c>
    </row>
    <row r="565" spans="1:10" x14ac:dyDescent="0.3">
      <c r="A565" s="2" t="s">
        <v>596</v>
      </c>
      <c r="B565" s="3">
        <v>46052</v>
      </c>
      <c r="C565" s="2" t="s">
        <v>22</v>
      </c>
      <c r="D565" s="2" t="s">
        <v>32</v>
      </c>
      <c r="E565" s="2" t="s">
        <v>33</v>
      </c>
      <c r="F565" s="2">
        <v>4</v>
      </c>
      <c r="G565" s="15">
        <v>981.01</v>
      </c>
      <c r="H565" s="15">
        <v>3924.04</v>
      </c>
      <c r="I565" s="2">
        <v>20</v>
      </c>
      <c r="J565" s="15">
        <v>3139.23</v>
      </c>
    </row>
    <row r="566" spans="1:10" x14ac:dyDescent="0.3">
      <c r="A566" s="2" t="s">
        <v>597</v>
      </c>
      <c r="B566" s="3">
        <v>45867</v>
      </c>
      <c r="C566" s="2" t="s">
        <v>15</v>
      </c>
      <c r="D566" s="2" t="s">
        <v>16</v>
      </c>
      <c r="E566" s="2" t="s">
        <v>76</v>
      </c>
      <c r="F566" s="2">
        <v>11</v>
      </c>
      <c r="G566" s="15">
        <v>944.44</v>
      </c>
      <c r="H566" s="15">
        <v>10388.84</v>
      </c>
      <c r="I566" s="2">
        <v>15</v>
      </c>
      <c r="J566" s="15">
        <v>8830.51</v>
      </c>
    </row>
    <row r="567" spans="1:10" x14ac:dyDescent="0.3">
      <c r="A567" s="2" t="s">
        <v>598</v>
      </c>
      <c r="B567" s="3">
        <v>46130</v>
      </c>
      <c r="C567" s="2" t="s">
        <v>11</v>
      </c>
      <c r="D567" s="2" t="s">
        <v>32</v>
      </c>
      <c r="E567" s="2" t="s">
        <v>24</v>
      </c>
      <c r="F567" s="2">
        <v>2</v>
      </c>
      <c r="G567" s="15">
        <v>513.32000000000005</v>
      </c>
      <c r="H567" s="15">
        <v>1026.6400000000001</v>
      </c>
      <c r="I567" s="2">
        <v>0</v>
      </c>
      <c r="J567" s="15">
        <v>1026.6400000000001</v>
      </c>
    </row>
    <row r="568" spans="1:10" x14ac:dyDescent="0.3">
      <c r="A568" s="2" t="s">
        <v>599</v>
      </c>
      <c r="B568" s="3">
        <v>45936</v>
      </c>
      <c r="C568" s="2" t="s">
        <v>22</v>
      </c>
      <c r="D568" s="2" t="s">
        <v>44</v>
      </c>
      <c r="E568" s="2" t="s">
        <v>33</v>
      </c>
      <c r="F568" s="2">
        <v>10</v>
      </c>
      <c r="G568" s="15">
        <v>808.9</v>
      </c>
      <c r="H568" s="15">
        <v>8089</v>
      </c>
      <c r="I568" s="2">
        <v>10</v>
      </c>
      <c r="J568" s="15">
        <v>7280.1</v>
      </c>
    </row>
    <row r="569" spans="1:10" x14ac:dyDescent="0.3">
      <c r="A569" s="2" t="s">
        <v>600</v>
      </c>
      <c r="B569" s="3">
        <v>45925</v>
      </c>
      <c r="C569" s="2" t="s">
        <v>11</v>
      </c>
      <c r="D569" s="2" t="s">
        <v>23</v>
      </c>
      <c r="E569" s="2" t="s">
        <v>20</v>
      </c>
      <c r="F569" s="2">
        <v>2</v>
      </c>
      <c r="G569" s="15">
        <v>179.78</v>
      </c>
      <c r="H569" s="15">
        <v>359.56</v>
      </c>
      <c r="I569" s="2">
        <v>20</v>
      </c>
      <c r="J569" s="15">
        <v>287.64999999999998</v>
      </c>
    </row>
    <row r="570" spans="1:10" x14ac:dyDescent="0.3">
      <c r="A570" s="2" t="s">
        <v>601</v>
      </c>
      <c r="B570" s="3">
        <v>46070</v>
      </c>
      <c r="C570" s="2" t="s">
        <v>11</v>
      </c>
      <c r="D570" s="2" t="s">
        <v>44</v>
      </c>
      <c r="E570" s="2" t="s">
        <v>27</v>
      </c>
      <c r="F570" s="2">
        <v>15</v>
      </c>
      <c r="G570" s="15">
        <v>291.33999999999997</v>
      </c>
      <c r="H570" s="15">
        <v>4370.1000000000004</v>
      </c>
      <c r="I570" s="2">
        <v>0</v>
      </c>
      <c r="J570" s="15">
        <v>4370.1000000000004</v>
      </c>
    </row>
    <row r="571" spans="1:10" x14ac:dyDescent="0.3">
      <c r="A571" s="2" t="s">
        <v>602</v>
      </c>
      <c r="B571" s="3">
        <v>45823</v>
      </c>
      <c r="C571" s="2" t="s">
        <v>18</v>
      </c>
      <c r="D571" s="2" t="s">
        <v>44</v>
      </c>
      <c r="E571" s="2" t="s">
        <v>24</v>
      </c>
      <c r="F571" s="2">
        <v>8</v>
      </c>
      <c r="G571" s="15">
        <v>304.54000000000002</v>
      </c>
      <c r="H571" s="15">
        <v>2436.3200000000002</v>
      </c>
      <c r="I571" s="2">
        <v>0</v>
      </c>
      <c r="J571" s="15">
        <v>2436.3200000000002</v>
      </c>
    </row>
    <row r="572" spans="1:10" x14ac:dyDescent="0.3">
      <c r="A572" s="2" t="s">
        <v>603</v>
      </c>
      <c r="B572" s="3">
        <v>46084</v>
      </c>
      <c r="C572" s="2" t="s">
        <v>18</v>
      </c>
      <c r="D572" s="2" t="s">
        <v>12</v>
      </c>
      <c r="E572" s="2" t="s">
        <v>87</v>
      </c>
      <c r="F572" s="2">
        <v>7</v>
      </c>
      <c r="G572" s="15">
        <v>464.59</v>
      </c>
      <c r="H572" s="15">
        <v>3252.13</v>
      </c>
      <c r="I572" s="2">
        <v>20</v>
      </c>
      <c r="J572" s="15">
        <v>2601.6999999999998</v>
      </c>
    </row>
    <row r="573" spans="1:10" x14ac:dyDescent="0.3">
      <c r="A573" s="2" t="s">
        <v>604</v>
      </c>
      <c r="B573" s="3">
        <v>46058</v>
      </c>
      <c r="C573" s="2" t="s">
        <v>11</v>
      </c>
      <c r="D573" s="2" t="s">
        <v>60</v>
      </c>
      <c r="E573" s="2" t="s">
        <v>39</v>
      </c>
      <c r="F573" s="2">
        <v>11</v>
      </c>
      <c r="G573" s="15">
        <v>512.22</v>
      </c>
      <c r="H573" s="15">
        <v>5634.42</v>
      </c>
      <c r="I573" s="2">
        <v>20</v>
      </c>
      <c r="J573" s="15">
        <v>4507.54</v>
      </c>
    </row>
    <row r="574" spans="1:10" x14ac:dyDescent="0.3">
      <c r="A574" s="2" t="s">
        <v>605</v>
      </c>
      <c r="B574" s="3">
        <v>45895</v>
      </c>
      <c r="C574" s="2" t="s">
        <v>11</v>
      </c>
      <c r="D574" s="2" t="s">
        <v>12</v>
      </c>
      <c r="E574" s="2" t="s">
        <v>30</v>
      </c>
      <c r="F574" s="2">
        <v>11</v>
      </c>
      <c r="G574" s="15">
        <v>207.87</v>
      </c>
      <c r="H574" s="15">
        <v>2286.5700000000002</v>
      </c>
      <c r="I574" s="2">
        <v>10</v>
      </c>
      <c r="J574" s="15">
        <v>2057.91</v>
      </c>
    </row>
    <row r="575" spans="1:10" x14ac:dyDescent="0.3">
      <c r="A575" s="2" t="s">
        <v>606</v>
      </c>
      <c r="B575" s="3">
        <v>45839</v>
      </c>
      <c r="C575" s="2" t="s">
        <v>22</v>
      </c>
      <c r="D575" s="2" t="s">
        <v>29</v>
      </c>
      <c r="E575" s="2" t="s">
        <v>76</v>
      </c>
      <c r="F575" s="2">
        <v>3</v>
      </c>
      <c r="G575" s="15">
        <v>850.1</v>
      </c>
      <c r="H575" s="15">
        <v>2550.3000000000002</v>
      </c>
      <c r="I575" s="2">
        <v>20</v>
      </c>
      <c r="J575" s="15">
        <v>2040.24</v>
      </c>
    </row>
    <row r="576" spans="1:10" x14ac:dyDescent="0.3">
      <c r="A576" s="2" t="s">
        <v>607</v>
      </c>
      <c r="B576" s="3">
        <v>45870</v>
      </c>
      <c r="C576" s="2" t="s">
        <v>15</v>
      </c>
      <c r="D576" s="2" t="s">
        <v>16</v>
      </c>
      <c r="E576" s="2" t="s">
        <v>13</v>
      </c>
      <c r="F576" s="2">
        <v>17</v>
      </c>
      <c r="G576" s="15">
        <v>103.37</v>
      </c>
      <c r="H576" s="15">
        <v>1757.29</v>
      </c>
      <c r="I576" s="2">
        <v>20</v>
      </c>
      <c r="J576" s="15">
        <v>1405.83</v>
      </c>
    </row>
    <row r="577" spans="1:10" x14ac:dyDescent="0.3">
      <c r="A577" s="2" t="s">
        <v>608</v>
      </c>
      <c r="B577" s="3">
        <v>46108</v>
      </c>
      <c r="C577" s="2" t="s">
        <v>15</v>
      </c>
      <c r="D577" s="2" t="s">
        <v>26</v>
      </c>
      <c r="E577" s="2" t="s">
        <v>30</v>
      </c>
      <c r="F577" s="2">
        <v>4</v>
      </c>
      <c r="G577" s="15">
        <v>71.069999999999993</v>
      </c>
      <c r="H577" s="15">
        <v>284.27999999999997</v>
      </c>
      <c r="I577" s="2">
        <v>10</v>
      </c>
      <c r="J577" s="15">
        <v>255.85</v>
      </c>
    </row>
    <row r="578" spans="1:10" x14ac:dyDescent="0.3">
      <c r="A578" s="2" t="s">
        <v>609</v>
      </c>
      <c r="B578" s="3">
        <v>46123</v>
      </c>
      <c r="C578" s="2" t="s">
        <v>22</v>
      </c>
      <c r="D578" s="2" t="s">
        <v>60</v>
      </c>
      <c r="E578" s="2" t="s">
        <v>20</v>
      </c>
      <c r="F578" s="2">
        <v>17</v>
      </c>
      <c r="G578" s="15">
        <v>558.45000000000005</v>
      </c>
      <c r="H578" s="15">
        <v>9493.65</v>
      </c>
      <c r="I578" s="2">
        <v>10</v>
      </c>
      <c r="J578" s="15">
        <v>8544.2800000000007</v>
      </c>
    </row>
    <row r="579" spans="1:10" x14ac:dyDescent="0.3">
      <c r="A579" s="2" t="s">
        <v>610</v>
      </c>
      <c r="B579" s="3">
        <v>46067</v>
      </c>
      <c r="C579" s="2" t="s">
        <v>11</v>
      </c>
      <c r="D579" s="2" t="s">
        <v>26</v>
      </c>
      <c r="E579" s="2" t="s">
        <v>30</v>
      </c>
      <c r="F579" s="2">
        <v>9</v>
      </c>
      <c r="G579" s="15">
        <v>74.67</v>
      </c>
      <c r="H579" s="15">
        <v>672.03</v>
      </c>
      <c r="I579" s="2">
        <v>15</v>
      </c>
      <c r="J579" s="15">
        <v>571.23</v>
      </c>
    </row>
    <row r="580" spans="1:10" x14ac:dyDescent="0.3">
      <c r="A580" s="2" t="s">
        <v>611</v>
      </c>
      <c r="B580" s="3">
        <v>46039</v>
      </c>
      <c r="C580" s="2" t="s">
        <v>22</v>
      </c>
      <c r="D580" s="2" t="s">
        <v>12</v>
      </c>
      <c r="E580" s="2" t="s">
        <v>37</v>
      </c>
      <c r="F580" s="2">
        <v>18</v>
      </c>
      <c r="G580" s="15">
        <v>348.67</v>
      </c>
      <c r="H580" s="15">
        <v>6276.06</v>
      </c>
      <c r="I580" s="2">
        <v>5</v>
      </c>
      <c r="J580" s="15">
        <v>5962.26</v>
      </c>
    </row>
    <row r="581" spans="1:10" x14ac:dyDescent="0.3">
      <c r="A581" s="2" t="s">
        <v>612</v>
      </c>
      <c r="B581" s="3">
        <v>46093</v>
      </c>
      <c r="C581" s="2" t="s">
        <v>11</v>
      </c>
      <c r="D581" s="2" t="s">
        <v>19</v>
      </c>
      <c r="E581" s="2" t="s">
        <v>13</v>
      </c>
      <c r="F581" s="2">
        <v>19</v>
      </c>
      <c r="G581" s="15">
        <v>727.78</v>
      </c>
      <c r="H581" s="15">
        <v>13827.82</v>
      </c>
      <c r="I581" s="2">
        <v>20</v>
      </c>
      <c r="J581" s="15">
        <v>11062.26</v>
      </c>
    </row>
    <row r="582" spans="1:10" x14ac:dyDescent="0.3">
      <c r="A582" s="2" t="s">
        <v>613</v>
      </c>
      <c r="B582" s="3">
        <v>45973</v>
      </c>
      <c r="C582" s="2" t="s">
        <v>22</v>
      </c>
      <c r="D582" s="2" t="s">
        <v>32</v>
      </c>
      <c r="E582" s="2" t="s">
        <v>37</v>
      </c>
      <c r="F582" s="2">
        <v>14</v>
      </c>
      <c r="G582" s="15">
        <v>964.2</v>
      </c>
      <c r="H582" s="15">
        <v>13498.8</v>
      </c>
      <c r="I582" s="2">
        <v>20</v>
      </c>
      <c r="J582" s="15">
        <v>10799.04</v>
      </c>
    </row>
    <row r="583" spans="1:10" x14ac:dyDescent="0.3">
      <c r="A583" s="2" t="s">
        <v>614</v>
      </c>
      <c r="B583" s="3">
        <v>45955</v>
      </c>
      <c r="C583" s="2" t="s">
        <v>15</v>
      </c>
      <c r="D583" s="2" t="s">
        <v>12</v>
      </c>
      <c r="E583" s="2" t="s">
        <v>27</v>
      </c>
      <c r="F583" s="2">
        <v>14</v>
      </c>
      <c r="G583" s="15">
        <v>63.32</v>
      </c>
      <c r="H583" s="15">
        <v>886.48</v>
      </c>
      <c r="I583" s="2">
        <v>0</v>
      </c>
      <c r="J583" s="15">
        <v>886.48</v>
      </c>
    </row>
    <row r="584" spans="1:10" x14ac:dyDescent="0.3">
      <c r="A584" s="2" t="s">
        <v>615</v>
      </c>
      <c r="B584" s="3">
        <v>46036</v>
      </c>
      <c r="C584" s="2" t="s">
        <v>15</v>
      </c>
      <c r="D584" s="2" t="s">
        <v>23</v>
      </c>
      <c r="E584" s="2" t="s">
        <v>24</v>
      </c>
      <c r="F584" s="2">
        <v>4</v>
      </c>
      <c r="G584" s="15">
        <v>207.88</v>
      </c>
      <c r="H584" s="15">
        <v>831.52</v>
      </c>
      <c r="I584" s="2">
        <v>15</v>
      </c>
      <c r="J584" s="15">
        <v>706.79</v>
      </c>
    </row>
    <row r="585" spans="1:10" x14ac:dyDescent="0.3">
      <c r="A585" s="2" t="s">
        <v>616</v>
      </c>
      <c r="B585" s="3">
        <v>45815</v>
      </c>
      <c r="C585" s="2" t="s">
        <v>15</v>
      </c>
      <c r="D585" s="2" t="s">
        <v>29</v>
      </c>
      <c r="E585" s="2" t="s">
        <v>33</v>
      </c>
      <c r="F585" s="2">
        <v>2</v>
      </c>
      <c r="G585" s="15">
        <v>398.35</v>
      </c>
      <c r="H585" s="15">
        <v>796.7</v>
      </c>
      <c r="I585" s="2">
        <v>0</v>
      </c>
      <c r="J585" s="15">
        <v>796.7</v>
      </c>
    </row>
    <row r="586" spans="1:10" x14ac:dyDescent="0.3">
      <c r="A586" s="2" t="s">
        <v>617</v>
      </c>
      <c r="B586" s="3">
        <v>46149</v>
      </c>
      <c r="C586" s="2" t="s">
        <v>18</v>
      </c>
      <c r="D586" s="2" t="s">
        <v>12</v>
      </c>
      <c r="E586" s="2" t="s">
        <v>20</v>
      </c>
      <c r="F586" s="2">
        <v>16</v>
      </c>
      <c r="G586" s="15">
        <v>132.02000000000001</v>
      </c>
      <c r="H586" s="15">
        <v>2112.3200000000002</v>
      </c>
      <c r="I586" s="2">
        <v>10</v>
      </c>
      <c r="J586" s="15">
        <v>1901.09</v>
      </c>
    </row>
    <row r="587" spans="1:10" x14ac:dyDescent="0.3">
      <c r="A587" s="2" t="s">
        <v>618</v>
      </c>
      <c r="B587" s="3">
        <v>46025</v>
      </c>
      <c r="C587" s="2" t="s">
        <v>22</v>
      </c>
      <c r="D587" s="2" t="s">
        <v>23</v>
      </c>
      <c r="E587" s="2" t="s">
        <v>30</v>
      </c>
      <c r="F587" s="2">
        <v>20</v>
      </c>
      <c r="G587" s="15">
        <v>422</v>
      </c>
      <c r="H587" s="15">
        <v>8440</v>
      </c>
      <c r="I587" s="2">
        <v>5</v>
      </c>
      <c r="J587" s="15">
        <v>8018</v>
      </c>
    </row>
    <row r="588" spans="1:10" x14ac:dyDescent="0.3">
      <c r="A588" s="2" t="s">
        <v>619</v>
      </c>
      <c r="B588" s="3">
        <v>46107</v>
      </c>
      <c r="C588" s="2" t="s">
        <v>15</v>
      </c>
      <c r="D588" s="2" t="s">
        <v>26</v>
      </c>
      <c r="E588" s="2" t="s">
        <v>37</v>
      </c>
      <c r="F588" s="2">
        <v>2</v>
      </c>
      <c r="G588" s="15">
        <v>849.38</v>
      </c>
      <c r="H588" s="15">
        <v>1698.76</v>
      </c>
      <c r="I588" s="2">
        <v>0</v>
      </c>
      <c r="J588" s="15">
        <v>1698.76</v>
      </c>
    </row>
    <row r="589" spans="1:10" x14ac:dyDescent="0.3">
      <c r="A589" s="2" t="s">
        <v>620</v>
      </c>
      <c r="B589" s="3">
        <v>46037</v>
      </c>
      <c r="C589" s="2" t="s">
        <v>22</v>
      </c>
      <c r="D589" s="2" t="s">
        <v>44</v>
      </c>
      <c r="E589" s="2" t="s">
        <v>20</v>
      </c>
      <c r="F589" s="2">
        <v>7</v>
      </c>
      <c r="G589" s="15">
        <v>304.04000000000002</v>
      </c>
      <c r="H589" s="15">
        <v>2128.2800000000002</v>
      </c>
      <c r="I589" s="2">
        <v>0</v>
      </c>
      <c r="J589" s="15">
        <v>2128.2800000000002</v>
      </c>
    </row>
    <row r="590" spans="1:10" x14ac:dyDescent="0.3">
      <c r="A590" s="2" t="s">
        <v>621</v>
      </c>
      <c r="B590" s="3">
        <v>46113</v>
      </c>
      <c r="C590" s="2" t="s">
        <v>18</v>
      </c>
      <c r="D590" s="2" t="s">
        <v>12</v>
      </c>
      <c r="E590" s="2" t="s">
        <v>87</v>
      </c>
      <c r="F590" s="2">
        <v>18</v>
      </c>
      <c r="G590" s="15">
        <v>856.64</v>
      </c>
      <c r="H590" s="15">
        <v>15419.52</v>
      </c>
      <c r="I590" s="2">
        <v>5</v>
      </c>
      <c r="J590" s="15">
        <v>14648.54</v>
      </c>
    </row>
    <row r="591" spans="1:10" x14ac:dyDescent="0.3">
      <c r="A591" s="2" t="s">
        <v>622</v>
      </c>
      <c r="B591" s="3">
        <v>45976</v>
      </c>
      <c r="C591" s="2" t="s">
        <v>11</v>
      </c>
      <c r="D591" s="2" t="s">
        <v>44</v>
      </c>
      <c r="E591" s="2" t="s">
        <v>30</v>
      </c>
      <c r="F591" s="2">
        <v>18</v>
      </c>
      <c r="G591" s="15">
        <v>773.4</v>
      </c>
      <c r="H591" s="15">
        <v>13921.2</v>
      </c>
      <c r="I591" s="2">
        <v>15</v>
      </c>
      <c r="J591" s="15">
        <v>11833.02</v>
      </c>
    </row>
    <row r="592" spans="1:10" x14ac:dyDescent="0.3">
      <c r="A592" s="2" t="s">
        <v>623</v>
      </c>
      <c r="B592" s="3">
        <v>45991</v>
      </c>
      <c r="C592" s="2" t="s">
        <v>11</v>
      </c>
      <c r="D592" s="2" t="s">
        <v>26</v>
      </c>
      <c r="E592" s="2" t="s">
        <v>39</v>
      </c>
      <c r="F592" s="2">
        <v>14</v>
      </c>
      <c r="G592" s="15">
        <v>420.31</v>
      </c>
      <c r="H592" s="15">
        <v>5884.34</v>
      </c>
      <c r="I592" s="2">
        <v>10</v>
      </c>
      <c r="J592" s="15">
        <v>5295.91</v>
      </c>
    </row>
    <row r="593" spans="1:10" x14ac:dyDescent="0.3">
      <c r="A593" s="2" t="s">
        <v>624</v>
      </c>
      <c r="B593" s="3">
        <v>46060</v>
      </c>
      <c r="C593" s="2" t="s">
        <v>18</v>
      </c>
      <c r="D593" s="2" t="s">
        <v>19</v>
      </c>
      <c r="E593" s="2" t="s">
        <v>33</v>
      </c>
      <c r="F593" s="2">
        <v>12</v>
      </c>
      <c r="G593" s="15">
        <v>818.13</v>
      </c>
      <c r="H593" s="15">
        <v>9817.56</v>
      </c>
      <c r="I593" s="2">
        <v>5</v>
      </c>
      <c r="J593" s="15">
        <v>9326.68</v>
      </c>
    </row>
    <row r="594" spans="1:10" x14ac:dyDescent="0.3">
      <c r="A594" s="2" t="s">
        <v>625</v>
      </c>
      <c r="B594" s="3">
        <v>45979</v>
      </c>
      <c r="C594" s="2" t="s">
        <v>15</v>
      </c>
      <c r="D594" s="2" t="s">
        <v>44</v>
      </c>
      <c r="E594" s="2" t="s">
        <v>13</v>
      </c>
      <c r="F594" s="2">
        <v>11</v>
      </c>
      <c r="G594" s="15">
        <v>678.68</v>
      </c>
      <c r="H594" s="15">
        <v>7465.48</v>
      </c>
      <c r="I594" s="2">
        <v>15</v>
      </c>
      <c r="J594" s="15">
        <v>6345.66</v>
      </c>
    </row>
    <row r="595" spans="1:10" x14ac:dyDescent="0.3">
      <c r="A595" s="2" t="s">
        <v>626</v>
      </c>
      <c r="B595" s="3">
        <v>46021</v>
      </c>
      <c r="C595" s="2" t="s">
        <v>11</v>
      </c>
      <c r="D595" s="2" t="s">
        <v>60</v>
      </c>
      <c r="E595" s="2" t="s">
        <v>33</v>
      </c>
      <c r="F595" s="2">
        <v>9</v>
      </c>
      <c r="G595" s="15">
        <v>156.49</v>
      </c>
      <c r="H595" s="15">
        <v>1408.41</v>
      </c>
      <c r="I595" s="2">
        <v>10</v>
      </c>
      <c r="J595" s="15">
        <v>1267.57</v>
      </c>
    </row>
    <row r="596" spans="1:10" x14ac:dyDescent="0.3">
      <c r="A596" s="2" t="s">
        <v>627</v>
      </c>
      <c r="B596" s="3">
        <v>45848</v>
      </c>
      <c r="C596" s="2" t="s">
        <v>18</v>
      </c>
      <c r="D596" s="2" t="s">
        <v>23</v>
      </c>
      <c r="E596" s="2" t="s">
        <v>37</v>
      </c>
      <c r="F596" s="2">
        <v>14</v>
      </c>
      <c r="G596" s="15">
        <v>807.35</v>
      </c>
      <c r="H596" s="15">
        <v>11302.9</v>
      </c>
      <c r="I596" s="2">
        <v>20</v>
      </c>
      <c r="J596" s="15">
        <v>9042.32</v>
      </c>
    </row>
    <row r="597" spans="1:10" x14ac:dyDescent="0.3">
      <c r="A597" s="2" t="s">
        <v>628</v>
      </c>
      <c r="B597" s="3">
        <v>46132</v>
      </c>
      <c r="C597" s="2" t="s">
        <v>18</v>
      </c>
      <c r="D597" s="2" t="s">
        <v>60</v>
      </c>
      <c r="E597" s="2" t="s">
        <v>27</v>
      </c>
      <c r="F597" s="2">
        <v>1</v>
      </c>
      <c r="G597" s="15">
        <v>915.25</v>
      </c>
      <c r="H597" s="15">
        <v>915.25</v>
      </c>
      <c r="I597" s="2">
        <v>15</v>
      </c>
      <c r="J597" s="15">
        <v>777.96</v>
      </c>
    </row>
    <row r="598" spans="1:10" x14ac:dyDescent="0.3">
      <c r="A598" s="2" t="s">
        <v>629</v>
      </c>
      <c r="B598" s="3">
        <v>46163</v>
      </c>
      <c r="C598" s="2" t="s">
        <v>15</v>
      </c>
      <c r="D598" s="2" t="s">
        <v>32</v>
      </c>
      <c r="E598" s="2" t="s">
        <v>24</v>
      </c>
      <c r="F598" s="2">
        <v>20</v>
      </c>
      <c r="G598" s="15">
        <v>570.46</v>
      </c>
      <c r="H598" s="15">
        <v>11409.2</v>
      </c>
      <c r="I598" s="2">
        <v>20</v>
      </c>
      <c r="J598" s="15">
        <v>9127.36</v>
      </c>
    </row>
    <row r="599" spans="1:10" x14ac:dyDescent="0.3">
      <c r="A599" s="2" t="s">
        <v>630</v>
      </c>
      <c r="B599" s="3">
        <v>45823</v>
      </c>
      <c r="C599" s="2" t="s">
        <v>18</v>
      </c>
      <c r="D599" s="2" t="s">
        <v>29</v>
      </c>
      <c r="E599" s="2" t="s">
        <v>37</v>
      </c>
      <c r="F599" s="2">
        <v>9</v>
      </c>
      <c r="G599" s="15">
        <v>53.9</v>
      </c>
      <c r="H599" s="15">
        <v>485.1</v>
      </c>
      <c r="I599" s="2">
        <v>0</v>
      </c>
      <c r="J599" s="15">
        <v>485.1</v>
      </c>
    </row>
    <row r="600" spans="1:10" x14ac:dyDescent="0.3">
      <c r="A600" s="2" t="s">
        <v>631</v>
      </c>
      <c r="B600" s="3">
        <v>46037</v>
      </c>
      <c r="C600" s="2" t="s">
        <v>15</v>
      </c>
      <c r="D600" s="2" t="s">
        <v>60</v>
      </c>
      <c r="E600" s="2" t="s">
        <v>30</v>
      </c>
      <c r="F600" s="2">
        <v>17</v>
      </c>
      <c r="G600" s="15">
        <v>821.74</v>
      </c>
      <c r="H600" s="15">
        <v>13969.58</v>
      </c>
      <c r="I600" s="2">
        <v>15</v>
      </c>
      <c r="J600" s="15">
        <v>11874.14</v>
      </c>
    </row>
    <row r="601" spans="1:10" x14ac:dyDescent="0.3">
      <c r="A601" s="2" t="s">
        <v>632</v>
      </c>
      <c r="B601" s="3">
        <v>46152</v>
      </c>
      <c r="C601" s="2" t="s">
        <v>15</v>
      </c>
      <c r="D601" s="2" t="s">
        <v>16</v>
      </c>
      <c r="E601" s="2" t="s">
        <v>76</v>
      </c>
      <c r="F601" s="2">
        <v>2</v>
      </c>
      <c r="G601" s="15">
        <v>599.72</v>
      </c>
      <c r="H601" s="15">
        <v>1199.44</v>
      </c>
      <c r="I601" s="2">
        <v>5</v>
      </c>
      <c r="J601" s="15">
        <v>1139.47</v>
      </c>
    </row>
    <row r="602" spans="1:10" x14ac:dyDescent="0.3">
      <c r="A602" s="2" t="s">
        <v>633</v>
      </c>
      <c r="B602" s="3">
        <v>45912</v>
      </c>
      <c r="C602" s="2" t="s">
        <v>22</v>
      </c>
      <c r="D602" s="2" t="s">
        <v>32</v>
      </c>
      <c r="E602" s="2" t="s">
        <v>24</v>
      </c>
      <c r="F602" s="2">
        <v>16</v>
      </c>
      <c r="G602" s="15">
        <v>279.2</v>
      </c>
      <c r="H602" s="15">
        <v>4467.2</v>
      </c>
      <c r="I602" s="2">
        <v>20</v>
      </c>
      <c r="J602" s="15">
        <v>3573.76</v>
      </c>
    </row>
    <row r="603" spans="1:10" x14ac:dyDescent="0.3">
      <c r="A603" s="2" t="s">
        <v>634</v>
      </c>
      <c r="B603" s="3">
        <v>46134</v>
      </c>
      <c r="C603" s="2" t="s">
        <v>11</v>
      </c>
      <c r="D603" s="2" t="s">
        <v>29</v>
      </c>
      <c r="E603" s="2" t="s">
        <v>30</v>
      </c>
      <c r="F603" s="2">
        <v>8</v>
      </c>
      <c r="G603" s="15">
        <v>905.44</v>
      </c>
      <c r="H603" s="15">
        <v>7243.52</v>
      </c>
      <c r="I603" s="2">
        <v>10</v>
      </c>
      <c r="J603" s="15">
        <v>6519.17</v>
      </c>
    </row>
    <row r="604" spans="1:10" x14ac:dyDescent="0.3">
      <c r="A604" s="2" t="s">
        <v>635</v>
      </c>
      <c r="B604" s="3">
        <v>46008</v>
      </c>
      <c r="C604" s="2" t="s">
        <v>22</v>
      </c>
      <c r="D604" s="2" t="s">
        <v>44</v>
      </c>
      <c r="E604" s="2" t="s">
        <v>37</v>
      </c>
      <c r="F604" s="2">
        <v>20</v>
      </c>
      <c r="G604" s="15">
        <v>203.83</v>
      </c>
      <c r="H604" s="15">
        <v>4076.6</v>
      </c>
      <c r="I604" s="2">
        <v>5</v>
      </c>
      <c r="J604" s="15">
        <v>3872.77</v>
      </c>
    </row>
    <row r="605" spans="1:10" x14ac:dyDescent="0.3">
      <c r="A605" s="2" t="s">
        <v>636</v>
      </c>
      <c r="B605" s="3">
        <v>45807</v>
      </c>
      <c r="C605" s="2" t="s">
        <v>18</v>
      </c>
      <c r="D605" s="2" t="s">
        <v>32</v>
      </c>
      <c r="E605" s="2" t="s">
        <v>37</v>
      </c>
      <c r="F605" s="2">
        <v>9</v>
      </c>
      <c r="G605" s="15">
        <v>923.34</v>
      </c>
      <c r="H605" s="15">
        <v>8310.06</v>
      </c>
      <c r="I605" s="2">
        <v>15</v>
      </c>
      <c r="J605" s="15">
        <v>7063.55</v>
      </c>
    </row>
    <row r="606" spans="1:10" x14ac:dyDescent="0.3">
      <c r="A606" s="2" t="s">
        <v>637</v>
      </c>
      <c r="B606" s="3">
        <v>45831</v>
      </c>
      <c r="C606" s="2" t="s">
        <v>18</v>
      </c>
      <c r="D606" s="2" t="s">
        <v>19</v>
      </c>
      <c r="E606" s="2" t="s">
        <v>13</v>
      </c>
      <c r="F606" s="2">
        <v>17</v>
      </c>
      <c r="G606" s="15">
        <v>575.46</v>
      </c>
      <c r="H606" s="15">
        <v>9782.82</v>
      </c>
      <c r="I606" s="2">
        <v>5</v>
      </c>
      <c r="J606" s="15">
        <v>9293.68</v>
      </c>
    </row>
    <row r="607" spans="1:10" x14ac:dyDescent="0.3">
      <c r="A607" s="2" t="s">
        <v>638</v>
      </c>
      <c r="B607" s="3">
        <v>45951</v>
      </c>
      <c r="C607" s="2" t="s">
        <v>18</v>
      </c>
      <c r="D607" s="2" t="s">
        <v>44</v>
      </c>
      <c r="E607" s="2" t="s">
        <v>39</v>
      </c>
      <c r="F607" s="2">
        <v>4</v>
      </c>
      <c r="G607" s="15">
        <v>730.68</v>
      </c>
      <c r="H607" s="15">
        <v>2922.72</v>
      </c>
      <c r="I607" s="2">
        <v>10</v>
      </c>
      <c r="J607" s="15">
        <v>2630.45</v>
      </c>
    </row>
    <row r="608" spans="1:10" x14ac:dyDescent="0.3">
      <c r="A608" s="2" t="s">
        <v>639</v>
      </c>
      <c r="B608" s="3">
        <v>45963</v>
      </c>
      <c r="C608" s="2" t="s">
        <v>15</v>
      </c>
      <c r="D608" s="2" t="s">
        <v>19</v>
      </c>
      <c r="E608" s="2" t="s">
        <v>24</v>
      </c>
      <c r="F608" s="2">
        <v>19</v>
      </c>
      <c r="G608" s="15">
        <v>544.75</v>
      </c>
      <c r="H608" s="15">
        <v>10350.25</v>
      </c>
      <c r="I608" s="2">
        <v>5</v>
      </c>
      <c r="J608" s="15">
        <v>9832.74</v>
      </c>
    </row>
    <row r="609" spans="1:10" x14ac:dyDescent="0.3">
      <c r="A609" s="2" t="s">
        <v>640</v>
      </c>
      <c r="B609" s="3">
        <v>46093</v>
      </c>
      <c r="C609" s="2" t="s">
        <v>15</v>
      </c>
      <c r="D609" s="2" t="s">
        <v>16</v>
      </c>
      <c r="E609" s="2" t="s">
        <v>87</v>
      </c>
      <c r="F609" s="2">
        <v>6</v>
      </c>
      <c r="G609" s="15">
        <v>394.48</v>
      </c>
      <c r="H609" s="15">
        <v>2366.88</v>
      </c>
      <c r="I609" s="2">
        <v>15</v>
      </c>
      <c r="J609" s="15">
        <v>2011.85</v>
      </c>
    </row>
    <row r="610" spans="1:10" x14ac:dyDescent="0.3">
      <c r="A610" s="2" t="s">
        <v>641</v>
      </c>
      <c r="B610" s="3">
        <v>45857</v>
      </c>
      <c r="C610" s="2" t="s">
        <v>15</v>
      </c>
      <c r="D610" s="2" t="s">
        <v>29</v>
      </c>
      <c r="E610" s="2" t="s">
        <v>24</v>
      </c>
      <c r="F610" s="2">
        <v>20</v>
      </c>
      <c r="G610" s="15">
        <v>60.69</v>
      </c>
      <c r="H610" s="15">
        <v>1213.8</v>
      </c>
      <c r="I610" s="2">
        <v>20</v>
      </c>
      <c r="J610" s="15">
        <v>971.04</v>
      </c>
    </row>
    <row r="611" spans="1:10" x14ac:dyDescent="0.3">
      <c r="A611" s="2" t="s">
        <v>642</v>
      </c>
      <c r="B611" s="3">
        <v>46081</v>
      </c>
      <c r="C611" s="2" t="s">
        <v>15</v>
      </c>
      <c r="D611" s="2" t="s">
        <v>60</v>
      </c>
      <c r="E611" s="2" t="s">
        <v>20</v>
      </c>
      <c r="F611" s="2">
        <v>17</v>
      </c>
      <c r="G611" s="15">
        <v>310.08999999999997</v>
      </c>
      <c r="H611" s="15">
        <v>5271.53</v>
      </c>
      <c r="I611" s="2">
        <v>20</v>
      </c>
      <c r="J611" s="15">
        <v>4217.22</v>
      </c>
    </row>
    <row r="612" spans="1:10" x14ac:dyDescent="0.3">
      <c r="A612" s="2" t="s">
        <v>643</v>
      </c>
      <c r="B612" s="3">
        <v>46086</v>
      </c>
      <c r="C612" s="2" t="s">
        <v>22</v>
      </c>
      <c r="D612" s="2" t="s">
        <v>19</v>
      </c>
      <c r="E612" s="2" t="s">
        <v>87</v>
      </c>
      <c r="F612" s="2">
        <v>2</v>
      </c>
      <c r="G612" s="15">
        <v>224.69</v>
      </c>
      <c r="H612" s="15">
        <v>449.38</v>
      </c>
      <c r="I612" s="2">
        <v>5</v>
      </c>
      <c r="J612" s="15">
        <v>426.91</v>
      </c>
    </row>
    <row r="613" spans="1:10" x14ac:dyDescent="0.3">
      <c r="A613" s="2" t="s">
        <v>644</v>
      </c>
      <c r="B613" s="3">
        <v>46091</v>
      </c>
      <c r="C613" s="2" t="s">
        <v>18</v>
      </c>
      <c r="D613" s="2" t="s">
        <v>32</v>
      </c>
      <c r="E613" s="2" t="s">
        <v>13</v>
      </c>
      <c r="F613" s="2">
        <v>1</v>
      </c>
      <c r="G613" s="15">
        <v>211.3</v>
      </c>
      <c r="H613" s="15">
        <v>211.3</v>
      </c>
      <c r="I613" s="2">
        <v>0</v>
      </c>
      <c r="J613" s="15">
        <v>211.3</v>
      </c>
    </row>
    <row r="614" spans="1:10" x14ac:dyDescent="0.3">
      <c r="A614" s="2" t="s">
        <v>645</v>
      </c>
      <c r="B614" s="3">
        <v>46014</v>
      </c>
      <c r="C614" s="2" t="s">
        <v>15</v>
      </c>
      <c r="D614" s="2" t="s">
        <v>16</v>
      </c>
      <c r="E614" s="2" t="s">
        <v>37</v>
      </c>
      <c r="F614" s="2">
        <v>19</v>
      </c>
      <c r="G614" s="15">
        <v>949.05</v>
      </c>
      <c r="H614" s="15">
        <v>18031.95</v>
      </c>
      <c r="I614" s="2">
        <v>20</v>
      </c>
      <c r="J614" s="15">
        <v>14425.56</v>
      </c>
    </row>
    <row r="615" spans="1:10" x14ac:dyDescent="0.3">
      <c r="A615" s="2" t="s">
        <v>646</v>
      </c>
      <c r="B615" s="3">
        <v>46003</v>
      </c>
      <c r="C615" s="2" t="s">
        <v>22</v>
      </c>
      <c r="D615" s="2" t="s">
        <v>52</v>
      </c>
      <c r="E615" s="2" t="s">
        <v>39</v>
      </c>
      <c r="F615" s="2">
        <v>12</v>
      </c>
      <c r="G615" s="15">
        <v>500.34</v>
      </c>
      <c r="H615" s="15">
        <v>6004.08</v>
      </c>
      <c r="I615" s="2">
        <v>15</v>
      </c>
      <c r="J615" s="15">
        <v>5103.47</v>
      </c>
    </row>
    <row r="616" spans="1:10" x14ac:dyDescent="0.3">
      <c r="A616" s="2" t="s">
        <v>647</v>
      </c>
      <c r="B616" s="3">
        <v>45918</v>
      </c>
      <c r="C616" s="2" t="s">
        <v>18</v>
      </c>
      <c r="D616" s="2" t="s">
        <v>60</v>
      </c>
      <c r="E616" s="2" t="s">
        <v>20</v>
      </c>
      <c r="F616" s="2">
        <v>3</v>
      </c>
      <c r="G616" s="15">
        <v>69.02</v>
      </c>
      <c r="H616" s="15">
        <v>207.06</v>
      </c>
      <c r="I616" s="2">
        <v>20</v>
      </c>
      <c r="J616" s="15">
        <v>165.65</v>
      </c>
    </row>
    <row r="617" spans="1:10" x14ac:dyDescent="0.3">
      <c r="A617" s="2" t="s">
        <v>648</v>
      </c>
      <c r="B617" s="3">
        <v>45800</v>
      </c>
      <c r="C617" s="2" t="s">
        <v>11</v>
      </c>
      <c r="D617" s="2" t="s">
        <v>32</v>
      </c>
      <c r="E617" s="2" t="s">
        <v>20</v>
      </c>
      <c r="F617" s="2">
        <v>19</v>
      </c>
      <c r="G617" s="15">
        <v>307.04000000000002</v>
      </c>
      <c r="H617" s="15">
        <v>5833.76</v>
      </c>
      <c r="I617" s="2">
        <v>0</v>
      </c>
      <c r="J617" s="15">
        <v>5833.76</v>
      </c>
    </row>
    <row r="618" spans="1:10" x14ac:dyDescent="0.3">
      <c r="A618" s="2" t="s">
        <v>649</v>
      </c>
      <c r="B618" s="3">
        <v>46116</v>
      </c>
      <c r="C618" s="2" t="s">
        <v>11</v>
      </c>
      <c r="D618" s="2" t="s">
        <v>12</v>
      </c>
      <c r="E618" s="2" t="s">
        <v>30</v>
      </c>
      <c r="F618" s="2">
        <v>17</v>
      </c>
      <c r="G618" s="15">
        <v>99.71</v>
      </c>
      <c r="H618" s="15">
        <v>1695.07</v>
      </c>
      <c r="I618" s="2">
        <v>15</v>
      </c>
      <c r="J618" s="15">
        <v>1440.81</v>
      </c>
    </row>
    <row r="619" spans="1:10" x14ac:dyDescent="0.3">
      <c r="A619" s="2" t="s">
        <v>650</v>
      </c>
      <c r="B619" s="3">
        <v>46159</v>
      </c>
      <c r="C619" s="2" t="s">
        <v>15</v>
      </c>
      <c r="D619" s="2" t="s">
        <v>44</v>
      </c>
      <c r="E619" s="2" t="s">
        <v>13</v>
      </c>
      <c r="F619" s="2">
        <v>15</v>
      </c>
      <c r="G619" s="15">
        <v>761.66</v>
      </c>
      <c r="H619" s="15">
        <v>11424.9</v>
      </c>
      <c r="I619" s="2">
        <v>20</v>
      </c>
      <c r="J619" s="15">
        <v>9139.92</v>
      </c>
    </row>
    <row r="620" spans="1:10" x14ac:dyDescent="0.3">
      <c r="A620" s="2" t="s">
        <v>651</v>
      </c>
      <c r="B620" s="3">
        <v>46010</v>
      </c>
      <c r="C620" s="2" t="s">
        <v>11</v>
      </c>
      <c r="D620" s="2" t="s">
        <v>32</v>
      </c>
      <c r="E620" s="2" t="s">
        <v>39</v>
      </c>
      <c r="F620" s="2">
        <v>4</v>
      </c>
      <c r="G620" s="15">
        <v>101.12</v>
      </c>
      <c r="H620" s="15">
        <v>404.48</v>
      </c>
      <c r="I620" s="2">
        <v>15</v>
      </c>
      <c r="J620" s="15">
        <v>343.81</v>
      </c>
    </row>
    <row r="621" spans="1:10" x14ac:dyDescent="0.3">
      <c r="A621" s="2" t="s">
        <v>652</v>
      </c>
      <c r="B621" s="3">
        <v>45800</v>
      </c>
      <c r="C621" s="2" t="s">
        <v>22</v>
      </c>
      <c r="D621" s="2" t="s">
        <v>52</v>
      </c>
      <c r="E621" s="2" t="s">
        <v>37</v>
      </c>
      <c r="F621" s="2">
        <v>18</v>
      </c>
      <c r="G621" s="15">
        <v>331.42</v>
      </c>
      <c r="H621" s="15">
        <v>5965.56</v>
      </c>
      <c r="I621" s="2">
        <v>5</v>
      </c>
      <c r="J621" s="15">
        <v>5667.28</v>
      </c>
    </row>
    <row r="622" spans="1:10" x14ac:dyDescent="0.3">
      <c r="A622" s="2" t="s">
        <v>653</v>
      </c>
      <c r="B622" s="3">
        <v>45895</v>
      </c>
      <c r="C622" s="2" t="s">
        <v>18</v>
      </c>
      <c r="D622" s="2" t="s">
        <v>44</v>
      </c>
      <c r="E622" s="2" t="s">
        <v>20</v>
      </c>
      <c r="F622" s="2">
        <v>12</v>
      </c>
      <c r="G622" s="15">
        <v>721.48</v>
      </c>
      <c r="H622" s="15">
        <v>8657.76</v>
      </c>
      <c r="I622" s="2">
        <v>0</v>
      </c>
      <c r="J622" s="15">
        <v>8657.76</v>
      </c>
    </row>
    <row r="623" spans="1:10" x14ac:dyDescent="0.3">
      <c r="A623" s="2" t="s">
        <v>654</v>
      </c>
      <c r="B623" s="3">
        <v>45847</v>
      </c>
      <c r="C623" s="2" t="s">
        <v>15</v>
      </c>
      <c r="D623" s="2" t="s">
        <v>52</v>
      </c>
      <c r="E623" s="2" t="s">
        <v>76</v>
      </c>
      <c r="F623" s="2">
        <v>7</v>
      </c>
      <c r="G623" s="15">
        <v>526.05999999999995</v>
      </c>
      <c r="H623" s="15">
        <v>3682.42</v>
      </c>
      <c r="I623" s="2">
        <v>5</v>
      </c>
      <c r="J623" s="15">
        <v>3498.3</v>
      </c>
    </row>
    <row r="624" spans="1:10" x14ac:dyDescent="0.3">
      <c r="A624" s="2" t="s">
        <v>655</v>
      </c>
      <c r="B624" s="3">
        <v>45820</v>
      </c>
      <c r="C624" s="2" t="s">
        <v>18</v>
      </c>
      <c r="D624" s="2" t="s">
        <v>26</v>
      </c>
      <c r="E624" s="2" t="s">
        <v>39</v>
      </c>
      <c r="F624" s="2">
        <v>4</v>
      </c>
      <c r="G624" s="15">
        <v>435.2</v>
      </c>
      <c r="H624" s="15">
        <v>1740.8</v>
      </c>
      <c r="I624" s="2">
        <v>5</v>
      </c>
      <c r="J624" s="15">
        <v>1653.76</v>
      </c>
    </row>
    <row r="625" spans="1:10" x14ac:dyDescent="0.3">
      <c r="A625" s="2" t="s">
        <v>656</v>
      </c>
      <c r="B625" s="3">
        <v>46118</v>
      </c>
      <c r="C625" s="2" t="s">
        <v>11</v>
      </c>
      <c r="D625" s="2" t="s">
        <v>29</v>
      </c>
      <c r="E625" s="2" t="s">
        <v>37</v>
      </c>
      <c r="F625" s="2">
        <v>12</v>
      </c>
      <c r="G625" s="15">
        <v>266.93</v>
      </c>
      <c r="H625" s="15">
        <v>3203.16</v>
      </c>
      <c r="I625" s="2">
        <v>15</v>
      </c>
      <c r="J625" s="15">
        <v>2722.69</v>
      </c>
    </row>
    <row r="626" spans="1:10" x14ac:dyDescent="0.3">
      <c r="A626" s="2" t="s">
        <v>657</v>
      </c>
      <c r="B626" s="3">
        <v>45937</v>
      </c>
      <c r="C626" s="2" t="s">
        <v>18</v>
      </c>
      <c r="D626" s="2" t="s">
        <v>32</v>
      </c>
      <c r="E626" s="2" t="s">
        <v>27</v>
      </c>
      <c r="F626" s="2">
        <v>15</v>
      </c>
      <c r="G626" s="15">
        <v>554.45000000000005</v>
      </c>
      <c r="H626" s="15">
        <v>8316.75</v>
      </c>
      <c r="I626" s="2">
        <v>10</v>
      </c>
      <c r="J626" s="15">
        <v>7485.07</v>
      </c>
    </row>
    <row r="627" spans="1:10" x14ac:dyDescent="0.3">
      <c r="A627" s="2" t="s">
        <v>658</v>
      </c>
      <c r="B627" s="3">
        <v>46067</v>
      </c>
      <c r="C627" s="2" t="s">
        <v>22</v>
      </c>
      <c r="D627" s="2" t="s">
        <v>44</v>
      </c>
      <c r="E627" s="2" t="s">
        <v>76</v>
      </c>
      <c r="F627" s="2">
        <v>20</v>
      </c>
      <c r="G627" s="15">
        <v>775.92</v>
      </c>
      <c r="H627" s="15">
        <v>15518.4</v>
      </c>
      <c r="I627" s="2">
        <v>20</v>
      </c>
      <c r="J627" s="15">
        <v>12414.72</v>
      </c>
    </row>
    <row r="628" spans="1:10" x14ac:dyDescent="0.3">
      <c r="A628" s="2" t="s">
        <v>659</v>
      </c>
      <c r="B628" s="3">
        <v>45948</v>
      </c>
      <c r="C628" s="2" t="s">
        <v>22</v>
      </c>
      <c r="D628" s="2" t="s">
        <v>44</v>
      </c>
      <c r="E628" s="2" t="s">
        <v>20</v>
      </c>
      <c r="F628" s="2">
        <v>10</v>
      </c>
      <c r="G628" s="15">
        <v>589.15</v>
      </c>
      <c r="H628" s="15">
        <v>5891.5</v>
      </c>
      <c r="I628" s="2">
        <v>20</v>
      </c>
      <c r="J628" s="15">
        <v>4713.2</v>
      </c>
    </row>
    <row r="629" spans="1:10" x14ac:dyDescent="0.3">
      <c r="A629" s="2" t="s">
        <v>660</v>
      </c>
      <c r="B629" s="3">
        <v>46116</v>
      </c>
      <c r="C629" s="2" t="s">
        <v>18</v>
      </c>
      <c r="D629" s="2" t="s">
        <v>60</v>
      </c>
      <c r="E629" s="2" t="s">
        <v>24</v>
      </c>
      <c r="F629" s="2">
        <v>14</v>
      </c>
      <c r="G629" s="15">
        <v>766.14</v>
      </c>
      <c r="H629" s="15">
        <v>10725.96</v>
      </c>
      <c r="I629" s="2">
        <v>20</v>
      </c>
      <c r="J629" s="15">
        <v>8580.77</v>
      </c>
    </row>
    <row r="630" spans="1:10" x14ac:dyDescent="0.3">
      <c r="A630" s="2" t="s">
        <v>661</v>
      </c>
      <c r="B630" s="3">
        <v>45806</v>
      </c>
      <c r="C630" s="2" t="s">
        <v>22</v>
      </c>
      <c r="D630" s="2" t="s">
        <v>16</v>
      </c>
      <c r="E630" s="2" t="s">
        <v>76</v>
      </c>
      <c r="F630" s="2">
        <v>1</v>
      </c>
      <c r="G630" s="15">
        <v>58.08</v>
      </c>
      <c r="H630" s="15">
        <v>58.08</v>
      </c>
      <c r="I630" s="2">
        <v>0</v>
      </c>
      <c r="J630" s="15">
        <v>58.08</v>
      </c>
    </row>
    <row r="631" spans="1:10" x14ac:dyDescent="0.3">
      <c r="A631" s="2" t="s">
        <v>662</v>
      </c>
      <c r="B631" s="3">
        <v>45936</v>
      </c>
      <c r="C631" s="2" t="s">
        <v>11</v>
      </c>
      <c r="D631" s="2" t="s">
        <v>32</v>
      </c>
      <c r="E631" s="2" t="s">
        <v>30</v>
      </c>
      <c r="F631" s="2">
        <v>17</v>
      </c>
      <c r="G631" s="15">
        <v>311.95999999999998</v>
      </c>
      <c r="H631" s="15">
        <v>5303.32</v>
      </c>
      <c r="I631" s="2">
        <v>0</v>
      </c>
      <c r="J631" s="15">
        <v>5303.32</v>
      </c>
    </row>
    <row r="632" spans="1:10" x14ac:dyDescent="0.3">
      <c r="A632" s="2" t="s">
        <v>663</v>
      </c>
      <c r="B632" s="3">
        <v>45914</v>
      </c>
      <c r="C632" s="2" t="s">
        <v>22</v>
      </c>
      <c r="D632" s="2" t="s">
        <v>12</v>
      </c>
      <c r="E632" s="2" t="s">
        <v>13</v>
      </c>
      <c r="F632" s="2">
        <v>1</v>
      </c>
      <c r="G632" s="15">
        <v>691.92</v>
      </c>
      <c r="H632" s="15">
        <v>691.92</v>
      </c>
      <c r="I632" s="2">
        <v>0</v>
      </c>
      <c r="J632" s="15">
        <v>691.92</v>
      </c>
    </row>
    <row r="633" spans="1:10" x14ac:dyDescent="0.3">
      <c r="A633" s="2" t="s">
        <v>664</v>
      </c>
      <c r="B633" s="3">
        <v>45843</v>
      </c>
      <c r="C633" s="2" t="s">
        <v>15</v>
      </c>
      <c r="D633" s="2" t="s">
        <v>19</v>
      </c>
      <c r="E633" s="2" t="s">
        <v>27</v>
      </c>
      <c r="F633" s="2">
        <v>20</v>
      </c>
      <c r="G633" s="15">
        <v>906.76</v>
      </c>
      <c r="H633" s="15">
        <v>18135.2</v>
      </c>
      <c r="I633" s="2">
        <v>0</v>
      </c>
      <c r="J633" s="15">
        <v>18135.2</v>
      </c>
    </row>
    <row r="634" spans="1:10" x14ac:dyDescent="0.3">
      <c r="A634" s="2" t="s">
        <v>665</v>
      </c>
      <c r="B634" s="3">
        <v>45844</v>
      </c>
      <c r="C634" s="2" t="s">
        <v>18</v>
      </c>
      <c r="D634" s="2" t="s">
        <v>32</v>
      </c>
      <c r="E634" s="2" t="s">
        <v>27</v>
      </c>
      <c r="F634" s="2">
        <v>4</v>
      </c>
      <c r="G634" s="15">
        <v>583.70000000000005</v>
      </c>
      <c r="H634" s="15">
        <v>2334.8000000000002</v>
      </c>
      <c r="I634" s="2">
        <v>20</v>
      </c>
      <c r="J634" s="15">
        <v>1867.84</v>
      </c>
    </row>
    <row r="635" spans="1:10" x14ac:dyDescent="0.3">
      <c r="A635" s="2" t="s">
        <v>666</v>
      </c>
      <c r="B635" s="3">
        <v>46133</v>
      </c>
      <c r="C635" s="2" t="s">
        <v>22</v>
      </c>
      <c r="D635" s="2" t="s">
        <v>32</v>
      </c>
      <c r="E635" s="2" t="s">
        <v>20</v>
      </c>
      <c r="F635" s="2">
        <v>14</v>
      </c>
      <c r="G635" s="15">
        <v>91.83</v>
      </c>
      <c r="H635" s="15">
        <v>1285.6199999999999</v>
      </c>
      <c r="I635" s="2">
        <v>15</v>
      </c>
      <c r="J635" s="15">
        <v>1092.78</v>
      </c>
    </row>
    <row r="636" spans="1:10" x14ac:dyDescent="0.3">
      <c r="A636" s="2" t="s">
        <v>667</v>
      </c>
      <c r="B636" s="3">
        <v>45942</v>
      </c>
      <c r="C636" s="2" t="s">
        <v>11</v>
      </c>
      <c r="D636" s="2" t="s">
        <v>16</v>
      </c>
      <c r="E636" s="2" t="s">
        <v>76</v>
      </c>
      <c r="F636" s="2">
        <v>6</v>
      </c>
      <c r="G636" s="15">
        <v>666.49</v>
      </c>
      <c r="H636" s="15">
        <v>3998.94</v>
      </c>
      <c r="I636" s="2">
        <v>15</v>
      </c>
      <c r="J636" s="15">
        <v>3399.1</v>
      </c>
    </row>
    <row r="637" spans="1:10" x14ac:dyDescent="0.3">
      <c r="A637" s="2" t="s">
        <v>668</v>
      </c>
      <c r="B637" s="3">
        <v>45948</v>
      </c>
      <c r="C637" s="2" t="s">
        <v>18</v>
      </c>
      <c r="D637" s="2" t="s">
        <v>16</v>
      </c>
      <c r="E637" s="2" t="s">
        <v>27</v>
      </c>
      <c r="F637" s="2">
        <v>7</v>
      </c>
      <c r="G637" s="15">
        <v>224.02</v>
      </c>
      <c r="H637" s="15">
        <v>1568.14</v>
      </c>
      <c r="I637" s="2">
        <v>5</v>
      </c>
      <c r="J637" s="15">
        <v>1489.73</v>
      </c>
    </row>
    <row r="638" spans="1:10" x14ac:dyDescent="0.3">
      <c r="A638" s="2" t="s">
        <v>669</v>
      </c>
      <c r="B638" s="3">
        <v>46101</v>
      </c>
      <c r="C638" s="2" t="s">
        <v>22</v>
      </c>
      <c r="D638" s="2" t="s">
        <v>19</v>
      </c>
      <c r="E638" s="2" t="s">
        <v>37</v>
      </c>
      <c r="F638" s="2">
        <v>6</v>
      </c>
      <c r="G638" s="15">
        <v>861.47</v>
      </c>
      <c r="H638" s="15">
        <v>5168.82</v>
      </c>
      <c r="I638" s="2">
        <v>15</v>
      </c>
      <c r="J638" s="15">
        <v>4393.5</v>
      </c>
    </row>
    <row r="639" spans="1:10" x14ac:dyDescent="0.3">
      <c r="A639" s="2" t="s">
        <v>670</v>
      </c>
      <c r="B639" s="3">
        <v>46048</v>
      </c>
      <c r="C639" s="2" t="s">
        <v>15</v>
      </c>
      <c r="D639" s="2" t="s">
        <v>32</v>
      </c>
      <c r="E639" s="2" t="s">
        <v>30</v>
      </c>
      <c r="F639" s="2">
        <v>4</v>
      </c>
      <c r="G639" s="15">
        <v>587.62</v>
      </c>
      <c r="H639" s="15">
        <v>2350.48</v>
      </c>
      <c r="I639" s="2">
        <v>15</v>
      </c>
      <c r="J639" s="15">
        <v>1997.91</v>
      </c>
    </row>
    <row r="640" spans="1:10" x14ac:dyDescent="0.3">
      <c r="A640" s="2" t="s">
        <v>671</v>
      </c>
      <c r="B640" s="3">
        <v>46054</v>
      </c>
      <c r="C640" s="2" t="s">
        <v>22</v>
      </c>
      <c r="D640" s="2" t="s">
        <v>12</v>
      </c>
      <c r="E640" s="2" t="s">
        <v>33</v>
      </c>
      <c r="F640" s="2">
        <v>7</v>
      </c>
      <c r="G640" s="15">
        <v>989.97</v>
      </c>
      <c r="H640" s="15">
        <v>6929.79</v>
      </c>
      <c r="I640" s="2">
        <v>5</v>
      </c>
      <c r="J640" s="15">
        <v>6583.3</v>
      </c>
    </row>
    <row r="641" spans="1:10" x14ac:dyDescent="0.3">
      <c r="A641" s="2" t="s">
        <v>672</v>
      </c>
      <c r="B641" s="3">
        <v>46144</v>
      </c>
      <c r="C641" s="2" t="s">
        <v>11</v>
      </c>
      <c r="D641" s="2" t="s">
        <v>60</v>
      </c>
      <c r="E641" s="2" t="s">
        <v>27</v>
      </c>
      <c r="F641" s="2">
        <v>11</v>
      </c>
      <c r="G641" s="15">
        <v>827.71</v>
      </c>
      <c r="H641" s="15">
        <v>9104.81</v>
      </c>
      <c r="I641" s="2">
        <v>0</v>
      </c>
      <c r="J641" s="15">
        <v>9104.81</v>
      </c>
    </row>
    <row r="642" spans="1:10" x14ac:dyDescent="0.3">
      <c r="A642" s="2" t="s">
        <v>673</v>
      </c>
      <c r="B642" s="3">
        <v>46159</v>
      </c>
      <c r="C642" s="2" t="s">
        <v>22</v>
      </c>
      <c r="D642" s="2" t="s">
        <v>32</v>
      </c>
      <c r="E642" s="2" t="s">
        <v>33</v>
      </c>
      <c r="F642" s="2">
        <v>12</v>
      </c>
      <c r="G642" s="15">
        <v>810.73</v>
      </c>
      <c r="H642" s="15">
        <v>9728.76</v>
      </c>
      <c r="I642" s="2">
        <v>0</v>
      </c>
      <c r="J642" s="15">
        <v>9728.76</v>
      </c>
    </row>
    <row r="643" spans="1:10" x14ac:dyDescent="0.3">
      <c r="A643" s="2" t="s">
        <v>674</v>
      </c>
      <c r="B643" s="3">
        <v>46094</v>
      </c>
      <c r="C643" s="2" t="s">
        <v>11</v>
      </c>
      <c r="D643" s="2" t="s">
        <v>16</v>
      </c>
      <c r="E643" s="2" t="s">
        <v>30</v>
      </c>
      <c r="F643" s="2">
        <v>10</v>
      </c>
      <c r="G643" s="15">
        <v>141.43</v>
      </c>
      <c r="H643" s="15">
        <v>1414.3</v>
      </c>
      <c r="I643" s="2">
        <v>15</v>
      </c>
      <c r="J643" s="15">
        <v>1202.1500000000001</v>
      </c>
    </row>
    <row r="644" spans="1:10" x14ac:dyDescent="0.3">
      <c r="A644" s="2" t="s">
        <v>675</v>
      </c>
      <c r="B644" s="3">
        <v>46149</v>
      </c>
      <c r="C644" s="2" t="s">
        <v>15</v>
      </c>
      <c r="D644" s="2" t="s">
        <v>29</v>
      </c>
      <c r="E644" s="2" t="s">
        <v>37</v>
      </c>
      <c r="F644" s="2">
        <v>3</v>
      </c>
      <c r="G644" s="15">
        <v>913.56</v>
      </c>
      <c r="H644" s="15">
        <v>2740.68</v>
      </c>
      <c r="I644" s="2">
        <v>15</v>
      </c>
      <c r="J644" s="15">
        <v>2329.58</v>
      </c>
    </row>
    <row r="645" spans="1:10" x14ac:dyDescent="0.3">
      <c r="A645" s="2" t="s">
        <v>676</v>
      </c>
      <c r="B645" s="3">
        <v>46160</v>
      </c>
      <c r="C645" s="2" t="s">
        <v>11</v>
      </c>
      <c r="D645" s="2" t="s">
        <v>12</v>
      </c>
      <c r="E645" s="2" t="s">
        <v>37</v>
      </c>
      <c r="F645" s="2">
        <v>12</v>
      </c>
      <c r="G645" s="15">
        <v>349.63</v>
      </c>
      <c r="H645" s="15">
        <v>4195.5600000000004</v>
      </c>
      <c r="I645" s="2">
        <v>0</v>
      </c>
      <c r="J645" s="15">
        <v>4195.5600000000004</v>
      </c>
    </row>
    <row r="646" spans="1:10" x14ac:dyDescent="0.3">
      <c r="A646" s="2" t="s">
        <v>677</v>
      </c>
      <c r="B646" s="3">
        <v>46101</v>
      </c>
      <c r="C646" s="2" t="s">
        <v>22</v>
      </c>
      <c r="D646" s="2" t="s">
        <v>16</v>
      </c>
      <c r="E646" s="2" t="s">
        <v>27</v>
      </c>
      <c r="F646" s="2">
        <v>7</v>
      </c>
      <c r="G646" s="15">
        <v>669.07</v>
      </c>
      <c r="H646" s="15">
        <v>4683.49</v>
      </c>
      <c r="I646" s="2">
        <v>20</v>
      </c>
      <c r="J646" s="15">
        <v>3746.79</v>
      </c>
    </row>
    <row r="647" spans="1:10" x14ac:dyDescent="0.3">
      <c r="A647" s="2" t="s">
        <v>678</v>
      </c>
      <c r="B647" s="3">
        <v>45851</v>
      </c>
      <c r="C647" s="2" t="s">
        <v>22</v>
      </c>
      <c r="D647" s="2" t="s">
        <v>26</v>
      </c>
      <c r="E647" s="2" t="s">
        <v>20</v>
      </c>
      <c r="F647" s="2">
        <v>16</v>
      </c>
      <c r="G647" s="15">
        <v>418.48</v>
      </c>
      <c r="H647" s="15">
        <v>6695.68</v>
      </c>
      <c r="I647" s="2">
        <v>15</v>
      </c>
      <c r="J647" s="15">
        <v>5691.33</v>
      </c>
    </row>
    <row r="648" spans="1:10" x14ac:dyDescent="0.3">
      <c r="A648" s="2" t="s">
        <v>679</v>
      </c>
      <c r="B648" s="3">
        <v>46088</v>
      </c>
      <c r="C648" s="2" t="s">
        <v>22</v>
      </c>
      <c r="D648" s="2" t="s">
        <v>23</v>
      </c>
      <c r="E648" s="2" t="s">
        <v>27</v>
      </c>
      <c r="F648" s="2">
        <v>14</v>
      </c>
      <c r="G648" s="15">
        <v>216.37</v>
      </c>
      <c r="H648" s="15">
        <v>3029.18</v>
      </c>
      <c r="I648" s="2">
        <v>15</v>
      </c>
      <c r="J648" s="15">
        <v>2574.8000000000002</v>
      </c>
    </row>
    <row r="649" spans="1:10" x14ac:dyDescent="0.3">
      <c r="A649" s="2" t="s">
        <v>680</v>
      </c>
      <c r="B649" s="3">
        <v>45804</v>
      </c>
      <c r="C649" s="2" t="s">
        <v>15</v>
      </c>
      <c r="D649" s="2" t="s">
        <v>16</v>
      </c>
      <c r="E649" s="2" t="s">
        <v>30</v>
      </c>
      <c r="F649" s="2">
        <v>12</v>
      </c>
      <c r="G649" s="15">
        <v>474.14</v>
      </c>
      <c r="H649" s="15">
        <v>5689.68</v>
      </c>
      <c r="I649" s="2">
        <v>15</v>
      </c>
      <c r="J649" s="15">
        <v>4836.2299999999996</v>
      </c>
    </row>
    <row r="650" spans="1:10" x14ac:dyDescent="0.3">
      <c r="A650" s="2" t="s">
        <v>681</v>
      </c>
      <c r="B650" s="3">
        <v>45938</v>
      </c>
      <c r="C650" s="2" t="s">
        <v>15</v>
      </c>
      <c r="D650" s="2" t="s">
        <v>52</v>
      </c>
      <c r="E650" s="2" t="s">
        <v>87</v>
      </c>
      <c r="F650" s="2">
        <v>19</v>
      </c>
      <c r="G650" s="15">
        <v>906.69</v>
      </c>
      <c r="H650" s="15">
        <v>17227.11</v>
      </c>
      <c r="I650" s="2">
        <v>5</v>
      </c>
      <c r="J650" s="15">
        <v>16365.75</v>
      </c>
    </row>
    <row r="651" spans="1:10" x14ac:dyDescent="0.3">
      <c r="A651" s="2" t="s">
        <v>682</v>
      </c>
      <c r="B651" s="3">
        <v>45816</v>
      </c>
      <c r="C651" s="2" t="s">
        <v>18</v>
      </c>
      <c r="D651" s="2" t="s">
        <v>12</v>
      </c>
      <c r="E651" s="2" t="s">
        <v>27</v>
      </c>
      <c r="F651" s="2">
        <v>17</v>
      </c>
      <c r="G651" s="15">
        <v>222.32</v>
      </c>
      <c r="H651" s="15">
        <v>3779.44</v>
      </c>
      <c r="I651" s="2">
        <v>10</v>
      </c>
      <c r="J651" s="15">
        <v>3401.5</v>
      </c>
    </row>
    <row r="652" spans="1:10" x14ac:dyDescent="0.3">
      <c r="A652" s="2" t="s">
        <v>683</v>
      </c>
      <c r="B652" s="3">
        <v>46073</v>
      </c>
      <c r="C652" s="2" t="s">
        <v>11</v>
      </c>
      <c r="D652" s="2" t="s">
        <v>29</v>
      </c>
      <c r="E652" s="2" t="s">
        <v>87</v>
      </c>
      <c r="F652" s="2">
        <v>9</v>
      </c>
      <c r="G652" s="15">
        <v>420.65</v>
      </c>
      <c r="H652" s="15">
        <v>3785.85</v>
      </c>
      <c r="I652" s="2">
        <v>0</v>
      </c>
      <c r="J652" s="15">
        <v>3785.85</v>
      </c>
    </row>
    <row r="653" spans="1:10" x14ac:dyDescent="0.3">
      <c r="A653" s="2" t="s">
        <v>684</v>
      </c>
      <c r="B653" s="3">
        <v>46037</v>
      </c>
      <c r="C653" s="2" t="s">
        <v>15</v>
      </c>
      <c r="D653" s="2" t="s">
        <v>32</v>
      </c>
      <c r="E653" s="2" t="s">
        <v>37</v>
      </c>
      <c r="F653" s="2">
        <v>1</v>
      </c>
      <c r="G653" s="15">
        <v>311.10000000000002</v>
      </c>
      <c r="H653" s="15">
        <v>311.10000000000002</v>
      </c>
      <c r="I653" s="2">
        <v>15</v>
      </c>
      <c r="J653" s="15">
        <v>264.44</v>
      </c>
    </row>
    <row r="654" spans="1:10" x14ac:dyDescent="0.3">
      <c r="A654" s="2" t="s">
        <v>685</v>
      </c>
      <c r="B654" s="3">
        <v>46120</v>
      </c>
      <c r="C654" s="2" t="s">
        <v>11</v>
      </c>
      <c r="D654" s="2" t="s">
        <v>26</v>
      </c>
      <c r="E654" s="2" t="s">
        <v>20</v>
      </c>
      <c r="F654" s="2">
        <v>7</v>
      </c>
      <c r="G654" s="15">
        <v>314.7</v>
      </c>
      <c r="H654" s="15">
        <v>2202.9</v>
      </c>
      <c r="I654" s="2">
        <v>0</v>
      </c>
      <c r="J654" s="15">
        <v>2202.9</v>
      </c>
    </row>
    <row r="655" spans="1:10" x14ac:dyDescent="0.3">
      <c r="A655" s="2" t="s">
        <v>686</v>
      </c>
      <c r="B655" s="3">
        <v>45903</v>
      </c>
      <c r="C655" s="2" t="s">
        <v>18</v>
      </c>
      <c r="D655" s="2" t="s">
        <v>44</v>
      </c>
      <c r="E655" s="2" t="s">
        <v>39</v>
      </c>
      <c r="F655" s="2">
        <v>3</v>
      </c>
      <c r="G655" s="15">
        <v>324.48</v>
      </c>
      <c r="H655" s="15">
        <v>973.44</v>
      </c>
      <c r="I655" s="2">
        <v>15</v>
      </c>
      <c r="J655" s="15">
        <v>827.42</v>
      </c>
    </row>
    <row r="656" spans="1:10" x14ac:dyDescent="0.3">
      <c r="A656" s="2" t="s">
        <v>687</v>
      </c>
      <c r="B656" s="3">
        <v>45835</v>
      </c>
      <c r="C656" s="2" t="s">
        <v>22</v>
      </c>
      <c r="D656" s="2" t="s">
        <v>44</v>
      </c>
      <c r="E656" s="2" t="s">
        <v>27</v>
      </c>
      <c r="F656" s="2">
        <v>15</v>
      </c>
      <c r="G656" s="15">
        <v>414.28</v>
      </c>
      <c r="H656" s="15">
        <v>6214.2</v>
      </c>
      <c r="I656" s="2">
        <v>20</v>
      </c>
      <c r="J656" s="15">
        <v>4971.3599999999997</v>
      </c>
    </row>
    <row r="657" spans="1:10" x14ac:dyDescent="0.3">
      <c r="A657" s="2" t="s">
        <v>688</v>
      </c>
      <c r="B657" s="3">
        <v>46021</v>
      </c>
      <c r="C657" s="2" t="s">
        <v>18</v>
      </c>
      <c r="D657" s="2" t="s">
        <v>26</v>
      </c>
      <c r="E657" s="2" t="s">
        <v>39</v>
      </c>
      <c r="F657" s="2">
        <v>1</v>
      </c>
      <c r="G657" s="15">
        <v>80.88</v>
      </c>
      <c r="H657" s="15">
        <v>80.88</v>
      </c>
      <c r="I657" s="2">
        <v>15</v>
      </c>
      <c r="J657" s="15">
        <v>68.75</v>
      </c>
    </row>
    <row r="658" spans="1:10" x14ac:dyDescent="0.3">
      <c r="A658" s="2" t="s">
        <v>689</v>
      </c>
      <c r="B658" s="3">
        <v>45890</v>
      </c>
      <c r="C658" s="2" t="s">
        <v>15</v>
      </c>
      <c r="D658" s="2" t="s">
        <v>19</v>
      </c>
      <c r="E658" s="2" t="s">
        <v>27</v>
      </c>
      <c r="F658" s="2">
        <v>6</v>
      </c>
      <c r="G658" s="15">
        <v>718.94</v>
      </c>
      <c r="H658" s="15">
        <v>4313.6400000000003</v>
      </c>
      <c r="I658" s="2">
        <v>5</v>
      </c>
      <c r="J658" s="15">
        <v>4097.96</v>
      </c>
    </row>
    <row r="659" spans="1:10" x14ac:dyDescent="0.3">
      <c r="A659" s="2" t="s">
        <v>690</v>
      </c>
      <c r="B659" s="3">
        <v>46039</v>
      </c>
      <c r="C659" s="2" t="s">
        <v>11</v>
      </c>
      <c r="D659" s="2" t="s">
        <v>19</v>
      </c>
      <c r="E659" s="2" t="s">
        <v>30</v>
      </c>
      <c r="F659" s="2">
        <v>3</v>
      </c>
      <c r="G659" s="15">
        <v>794.67</v>
      </c>
      <c r="H659" s="15">
        <v>2384.0100000000002</v>
      </c>
      <c r="I659" s="2">
        <v>15</v>
      </c>
      <c r="J659" s="15">
        <v>2026.41</v>
      </c>
    </row>
    <row r="660" spans="1:10" x14ac:dyDescent="0.3">
      <c r="A660" s="2" t="s">
        <v>691</v>
      </c>
      <c r="B660" s="3">
        <v>45966</v>
      </c>
      <c r="C660" s="2" t="s">
        <v>11</v>
      </c>
      <c r="D660" s="2" t="s">
        <v>12</v>
      </c>
      <c r="E660" s="2" t="s">
        <v>76</v>
      </c>
      <c r="F660" s="2">
        <v>13</v>
      </c>
      <c r="G660" s="15">
        <v>302.44</v>
      </c>
      <c r="H660" s="15">
        <v>3931.72</v>
      </c>
      <c r="I660" s="2">
        <v>0</v>
      </c>
      <c r="J660" s="15">
        <v>3931.72</v>
      </c>
    </row>
    <row r="661" spans="1:10" x14ac:dyDescent="0.3">
      <c r="A661" s="2" t="s">
        <v>692</v>
      </c>
      <c r="B661" s="3">
        <v>46077</v>
      </c>
      <c r="C661" s="2" t="s">
        <v>18</v>
      </c>
      <c r="D661" s="2" t="s">
        <v>52</v>
      </c>
      <c r="E661" s="2" t="s">
        <v>76</v>
      </c>
      <c r="F661" s="2">
        <v>12</v>
      </c>
      <c r="G661" s="15">
        <v>295.58</v>
      </c>
      <c r="H661" s="15">
        <v>3546.96</v>
      </c>
      <c r="I661" s="2">
        <v>0</v>
      </c>
      <c r="J661" s="15">
        <v>3546.96</v>
      </c>
    </row>
    <row r="662" spans="1:10" x14ac:dyDescent="0.3">
      <c r="A662" s="2" t="s">
        <v>693</v>
      </c>
      <c r="B662" s="3">
        <v>46058</v>
      </c>
      <c r="C662" s="2" t="s">
        <v>22</v>
      </c>
      <c r="D662" s="2" t="s">
        <v>44</v>
      </c>
      <c r="E662" s="2" t="s">
        <v>30</v>
      </c>
      <c r="F662" s="2">
        <v>11</v>
      </c>
      <c r="G662" s="15">
        <v>108.39</v>
      </c>
      <c r="H662" s="15">
        <v>1192.29</v>
      </c>
      <c r="I662" s="2">
        <v>15</v>
      </c>
      <c r="J662" s="15">
        <v>1013.45</v>
      </c>
    </row>
    <row r="663" spans="1:10" x14ac:dyDescent="0.3">
      <c r="A663" s="2" t="s">
        <v>694</v>
      </c>
      <c r="B663" s="3">
        <v>46110</v>
      </c>
      <c r="C663" s="2" t="s">
        <v>22</v>
      </c>
      <c r="D663" s="2" t="s">
        <v>44</v>
      </c>
      <c r="E663" s="2" t="s">
        <v>27</v>
      </c>
      <c r="F663" s="2">
        <v>5</v>
      </c>
      <c r="G663" s="15">
        <v>694.65</v>
      </c>
      <c r="H663" s="15">
        <v>3473.25</v>
      </c>
      <c r="I663" s="2">
        <v>0</v>
      </c>
      <c r="J663" s="15">
        <v>3473.25</v>
      </c>
    </row>
    <row r="664" spans="1:10" x14ac:dyDescent="0.3">
      <c r="A664" s="2" t="s">
        <v>695</v>
      </c>
      <c r="B664" s="3">
        <v>45981</v>
      </c>
      <c r="C664" s="2" t="s">
        <v>18</v>
      </c>
      <c r="D664" s="2" t="s">
        <v>52</v>
      </c>
      <c r="E664" s="2" t="s">
        <v>37</v>
      </c>
      <c r="F664" s="2">
        <v>3</v>
      </c>
      <c r="G664" s="15">
        <v>378.14</v>
      </c>
      <c r="H664" s="15">
        <v>1134.42</v>
      </c>
      <c r="I664" s="2">
        <v>20</v>
      </c>
      <c r="J664" s="15">
        <v>907.54</v>
      </c>
    </row>
    <row r="665" spans="1:10" x14ac:dyDescent="0.3">
      <c r="A665" s="2" t="s">
        <v>696</v>
      </c>
      <c r="B665" s="3">
        <v>46061</v>
      </c>
      <c r="C665" s="2" t="s">
        <v>11</v>
      </c>
      <c r="D665" s="2" t="s">
        <v>16</v>
      </c>
      <c r="E665" s="2" t="s">
        <v>27</v>
      </c>
      <c r="F665" s="2">
        <v>18</v>
      </c>
      <c r="G665" s="15">
        <v>516.17999999999995</v>
      </c>
      <c r="H665" s="15">
        <v>9291.24</v>
      </c>
      <c r="I665" s="2">
        <v>10</v>
      </c>
      <c r="J665" s="15">
        <v>8362.1200000000008</v>
      </c>
    </row>
    <row r="666" spans="1:10" x14ac:dyDescent="0.3">
      <c r="A666" s="2" t="s">
        <v>697</v>
      </c>
      <c r="B666" s="3">
        <v>46114</v>
      </c>
      <c r="C666" s="2" t="s">
        <v>11</v>
      </c>
      <c r="D666" s="2" t="s">
        <v>52</v>
      </c>
      <c r="E666" s="2" t="s">
        <v>76</v>
      </c>
      <c r="F666" s="2">
        <v>13</v>
      </c>
      <c r="G666" s="15">
        <v>461.32</v>
      </c>
      <c r="H666" s="15">
        <v>5997.16</v>
      </c>
      <c r="I666" s="2">
        <v>0</v>
      </c>
      <c r="J666" s="15">
        <v>5997.16</v>
      </c>
    </row>
    <row r="667" spans="1:10" x14ac:dyDescent="0.3">
      <c r="A667" s="2" t="s">
        <v>698</v>
      </c>
      <c r="B667" s="3">
        <v>46145</v>
      </c>
      <c r="C667" s="2" t="s">
        <v>18</v>
      </c>
      <c r="D667" s="2" t="s">
        <v>23</v>
      </c>
      <c r="E667" s="2" t="s">
        <v>13</v>
      </c>
      <c r="F667" s="2">
        <v>17</v>
      </c>
      <c r="G667" s="15">
        <v>445.47</v>
      </c>
      <c r="H667" s="15">
        <v>7572.99</v>
      </c>
      <c r="I667" s="2">
        <v>0</v>
      </c>
      <c r="J667" s="15">
        <v>7572.99</v>
      </c>
    </row>
    <row r="668" spans="1:10" x14ac:dyDescent="0.3">
      <c r="A668" s="2" t="s">
        <v>699</v>
      </c>
      <c r="B668" s="3">
        <v>45946</v>
      </c>
      <c r="C668" s="2" t="s">
        <v>11</v>
      </c>
      <c r="D668" s="2" t="s">
        <v>52</v>
      </c>
      <c r="E668" s="2" t="s">
        <v>76</v>
      </c>
      <c r="F668" s="2">
        <v>1</v>
      </c>
      <c r="G668" s="15">
        <v>813.72</v>
      </c>
      <c r="H668" s="15">
        <v>813.72</v>
      </c>
      <c r="I668" s="2">
        <v>0</v>
      </c>
      <c r="J668" s="15">
        <v>813.72</v>
      </c>
    </row>
    <row r="669" spans="1:10" x14ac:dyDescent="0.3">
      <c r="A669" s="2" t="s">
        <v>700</v>
      </c>
      <c r="B669" s="3">
        <v>46049</v>
      </c>
      <c r="C669" s="2" t="s">
        <v>22</v>
      </c>
      <c r="D669" s="2" t="s">
        <v>12</v>
      </c>
      <c r="E669" s="2" t="s">
        <v>87</v>
      </c>
      <c r="F669" s="2">
        <v>17</v>
      </c>
      <c r="G669" s="15">
        <v>890.63</v>
      </c>
      <c r="H669" s="15">
        <v>15140.71</v>
      </c>
      <c r="I669" s="2">
        <v>15</v>
      </c>
      <c r="J669" s="15">
        <v>12869.6</v>
      </c>
    </row>
    <row r="670" spans="1:10" x14ac:dyDescent="0.3">
      <c r="A670" s="2" t="s">
        <v>701</v>
      </c>
      <c r="B670" s="3">
        <v>46070</v>
      </c>
      <c r="C670" s="2" t="s">
        <v>11</v>
      </c>
      <c r="D670" s="2" t="s">
        <v>44</v>
      </c>
      <c r="E670" s="2" t="s">
        <v>37</v>
      </c>
      <c r="F670" s="2">
        <v>2</v>
      </c>
      <c r="G670" s="15">
        <v>197.82</v>
      </c>
      <c r="H670" s="15">
        <v>395.64</v>
      </c>
      <c r="I670" s="2">
        <v>10</v>
      </c>
      <c r="J670" s="15">
        <v>356.08</v>
      </c>
    </row>
    <row r="671" spans="1:10" x14ac:dyDescent="0.3">
      <c r="A671" s="2" t="s">
        <v>702</v>
      </c>
      <c r="B671" s="3">
        <v>45894</v>
      </c>
      <c r="C671" s="2" t="s">
        <v>18</v>
      </c>
      <c r="D671" s="2" t="s">
        <v>60</v>
      </c>
      <c r="E671" s="2" t="s">
        <v>33</v>
      </c>
      <c r="F671" s="2">
        <v>6</v>
      </c>
      <c r="G671" s="15">
        <v>60</v>
      </c>
      <c r="H671" s="15">
        <v>360</v>
      </c>
      <c r="I671" s="2">
        <v>15</v>
      </c>
      <c r="J671" s="15">
        <v>306</v>
      </c>
    </row>
    <row r="672" spans="1:10" x14ac:dyDescent="0.3">
      <c r="A672" s="2" t="s">
        <v>703</v>
      </c>
      <c r="B672" s="3">
        <v>46142</v>
      </c>
      <c r="C672" s="2" t="s">
        <v>18</v>
      </c>
      <c r="D672" s="2" t="s">
        <v>16</v>
      </c>
      <c r="E672" s="2" t="s">
        <v>76</v>
      </c>
      <c r="F672" s="2">
        <v>5</v>
      </c>
      <c r="G672" s="15">
        <v>182.64</v>
      </c>
      <c r="H672" s="15">
        <v>913.2</v>
      </c>
      <c r="I672" s="2">
        <v>5</v>
      </c>
      <c r="J672" s="15">
        <v>867.54</v>
      </c>
    </row>
    <row r="673" spans="1:10" x14ac:dyDescent="0.3">
      <c r="A673" s="2" t="s">
        <v>704</v>
      </c>
      <c r="B673" s="3">
        <v>45962</v>
      </c>
      <c r="C673" s="2" t="s">
        <v>22</v>
      </c>
      <c r="D673" s="2" t="s">
        <v>23</v>
      </c>
      <c r="E673" s="2" t="s">
        <v>33</v>
      </c>
      <c r="F673" s="2">
        <v>11</v>
      </c>
      <c r="G673" s="15">
        <v>75.599999999999994</v>
      </c>
      <c r="H673" s="15">
        <v>831.6</v>
      </c>
      <c r="I673" s="2">
        <v>10</v>
      </c>
      <c r="J673" s="15">
        <v>748.44</v>
      </c>
    </row>
    <row r="674" spans="1:10" x14ac:dyDescent="0.3">
      <c r="A674" s="2" t="s">
        <v>705</v>
      </c>
      <c r="B674" s="3">
        <v>45955</v>
      </c>
      <c r="C674" s="2" t="s">
        <v>22</v>
      </c>
      <c r="D674" s="2" t="s">
        <v>26</v>
      </c>
      <c r="E674" s="2" t="s">
        <v>39</v>
      </c>
      <c r="F674" s="2">
        <v>10</v>
      </c>
      <c r="G674" s="15">
        <v>762.12</v>
      </c>
      <c r="H674" s="15">
        <v>7621.2</v>
      </c>
      <c r="I674" s="2">
        <v>5</v>
      </c>
      <c r="J674" s="15">
        <v>7240.14</v>
      </c>
    </row>
    <row r="675" spans="1:10" x14ac:dyDescent="0.3">
      <c r="A675" s="2" t="s">
        <v>706</v>
      </c>
      <c r="B675" s="3">
        <v>46126</v>
      </c>
      <c r="C675" s="2" t="s">
        <v>15</v>
      </c>
      <c r="D675" s="2" t="s">
        <v>52</v>
      </c>
      <c r="E675" s="2" t="s">
        <v>24</v>
      </c>
      <c r="F675" s="2">
        <v>3</v>
      </c>
      <c r="G675" s="15">
        <v>139.72</v>
      </c>
      <c r="H675" s="15">
        <v>419.16</v>
      </c>
      <c r="I675" s="2">
        <v>10</v>
      </c>
      <c r="J675" s="15">
        <v>377.24</v>
      </c>
    </row>
    <row r="676" spans="1:10" x14ac:dyDescent="0.3">
      <c r="A676" s="2" t="s">
        <v>707</v>
      </c>
      <c r="B676" s="3">
        <v>46154</v>
      </c>
      <c r="C676" s="2" t="s">
        <v>18</v>
      </c>
      <c r="D676" s="2" t="s">
        <v>12</v>
      </c>
      <c r="E676" s="2" t="s">
        <v>24</v>
      </c>
      <c r="F676" s="2">
        <v>18</v>
      </c>
      <c r="G676" s="15">
        <v>616.87</v>
      </c>
      <c r="H676" s="15">
        <v>11103.66</v>
      </c>
      <c r="I676" s="2">
        <v>5</v>
      </c>
      <c r="J676" s="15">
        <v>10548.48</v>
      </c>
    </row>
    <row r="677" spans="1:10" x14ac:dyDescent="0.3">
      <c r="A677" s="2" t="s">
        <v>708</v>
      </c>
      <c r="B677" s="3">
        <v>46043</v>
      </c>
      <c r="C677" s="2" t="s">
        <v>22</v>
      </c>
      <c r="D677" s="2" t="s">
        <v>12</v>
      </c>
      <c r="E677" s="2" t="s">
        <v>30</v>
      </c>
      <c r="F677" s="2">
        <v>20</v>
      </c>
      <c r="G677" s="15">
        <v>910.16</v>
      </c>
      <c r="H677" s="15">
        <v>18203.2</v>
      </c>
      <c r="I677" s="2">
        <v>5</v>
      </c>
      <c r="J677" s="15">
        <v>17293.04</v>
      </c>
    </row>
    <row r="678" spans="1:10" x14ac:dyDescent="0.3">
      <c r="A678" s="2" t="s">
        <v>709</v>
      </c>
      <c r="B678" s="3">
        <v>46140</v>
      </c>
      <c r="C678" s="2" t="s">
        <v>22</v>
      </c>
      <c r="D678" s="2" t="s">
        <v>23</v>
      </c>
      <c r="E678" s="2" t="s">
        <v>39</v>
      </c>
      <c r="F678" s="2">
        <v>19</v>
      </c>
      <c r="G678" s="15">
        <v>740.65</v>
      </c>
      <c r="H678" s="15">
        <v>14072.35</v>
      </c>
      <c r="I678" s="2">
        <v>20</v>
      </c>
      <c r="J678" s="15">
        <v>11257.88</v>
      </c>
    </row>
    <row r="679" spans="1:10" x14ac:dyDescent="0.3">
      <c r="A679" s="2" t="s">
        <v>710</v>
      </c>
      <c r="B679" s="3">
        <v>46038</v>
      </c>
      <c r="C679" s="2" t="s">
        <v>15</v>
      </c>
      <c r="D679" s="2" t="s">
        <v>16</v>
      </c>
      <c r="E679" s="2" t="s">
        <v>30</v>
      </c>
      <c r="F679" s="2">
        <v>1</v>
      </c>
      <c r="G679" s="15">
        <v>244.62</v>
      </c>
      <c r="H679" s="15">
        <v>244.62</v>
      </c>
      <c r="I679" s="2">
        <v>20</v>
      </c>
      <c r="J679" s="15">
        <v>195.7</v>
      </c>
    </row>
    <row r="680" spans="1:10" x14ac:dyDescent="0.3">
      <c r="A680" s="2" t="s">
        <v>711</v>
      </c>
      <c r="B680" s="3">
        <v>45836</v>
      </c>
      <c r="C680" s="2" t="s">
        <v>11</v>
      </c>
      <c r="D680" s="2" t="s">
        <v>19</v>
      </c>
      <c r="E680" s="2" t="s">
        <v>39</v>
      </c>
      <c r="F680" s="2">
        <v>19</v>
      </c>
      <c r="G680" s="15">
        <v>525.5</v>
      </c>
      <c r="H680" s="15">
        <v>9984.5</v>
      </c>
      <c r="I680" s="2">
        <v>15</v>
      </c>
      <c r="J680" s="15">
        <v>8486.83</v>
      </c>
    </row>
    <row r="681" spans="1:10" x14ac:dyDescent="0.3">
      <c r="A681" s="2" t="s">
        <v>712</v>
      </c>
      <c r="B681" s="3">
        <v>45867</v>
      </c>
      <c r="C681" s="2" t="s">
        <v>11</v>
      </c>
      <c r="D681" s="2" t="s">
        <v>29</v>
      </c>
      <c r="E681" s="2" t="s">
        <v>87</v>
      </c>
      <c r="F681" s="2">
        <v>7</v>
      </c>
      <c r="G681" s="15">
        <v>886.72</v>
      </c>
      <c r="H681" s="15">
        <v>6207.04</v>
      </c>
      <c r="I681" s="2">
        <v>10</v>
      </c>
      <c r="J681" s="15">
        <v>5586.34</v>
      </c>
    </row>
    <row r="682" spans="1:10" x14ac:dyDescent="0.3">
      <c r="A682" s="2" t="s">
        <v>713</v>
      </c>
      <c r="B682" s="3">
        <v>45921</v>
      </c>
      <c r="C682" s="2" t="s">
        <v>18</v>
      </c>
      <c r="D682" s="2" t="s">
        <v>26</v>
      </c>
      <c r="E682" s="2" t="s">
        <v>13</v>
      </c>
      <c r="F682" s="2">
        <v>17</v>
      </c>
      <c r="G682" s="15">
        <v>188.8</v>
      </c>
      <c r="H682" s="15">
        <v>3209.6</v>
      </c>
      <c r="I682" s="2">
        <v>15</v>
      </c>
      <c r="J682" s="15">
        <v>2728.16</v>
      </c>
    </row>
    <row r="683" spans="1:10" x14ac:dyDescent="0.3">
      <c r="A683" s="2" t="s">
        <v>714</v>
      </c>
      <c r="B683" s="3">
        <v>45911</v>
      </c>
      <c r="C683" s="2" t="s">
        <v>18</v>
      </c>
      <c r="D683" s="2" t="s">
        <v>19</v>
      </c>
      <c r="E683" s="2" t="s">
        <v>39</v>
      </c>
      <c r="F683" s="2">
        <v>3</v>
      </c>
      <c r="G683" s="15">
        <v>881.67</v>
      </c>
      <c r="H683" s="15">
        <v>2645.01</v>
      </c>
      <c r="I683" s="2">
        <v>20</v>
      </c>
      <c r="J683" s="15">
        <v>2116.0100000000002</v>
      </c>
    </row>
    <row r="684" spans="1:10" x14ac:dyDescent="0.3">
      <c r="A684" s="2" t="s">
        <v>715</v>
      </c>
      <c r="B684" s="3">
        <v>45837</v>
      </c>
      <c r="C684" s="2" t="s">
        <v>18</v>
      </c>
      <c r="D684" s="2" t="s">
        <v>26</v>
      </c>
      <c r="E684" s="2" t="s">
        <v>30</v>
      </c>
      <c r="F684" s="2">
        <v>14</v>
      </c>
      <c r="G684" s="15">
        <v>249.19</v>
      </c>
      <c r="H684" s="15">
        <v>3488.66</v>
      </c>
      <c r="I684" s="2">
        <v>10</v>
      </c>
      <c r="J684" s="15">
        <v>3139.79</v>
      </c>
    </row>
    <row r="685" spans="1:10" x14ac:dyDescent="0.3">
      <c r="A685" s="2" t="s">
        <v>716</v>
      </c>
      <c r="B685" s="3">
        <v>45974</v>
      </c>
      <c r="C685" s="2" t="s">
        <v>15</v>
      </c>
      <c r="D685" s="2" t="s">
        <v>16</v>
      </c>
      <c r="E685" s="2" t="s">
        <v>39</v>
      </c>
      <c r="F685" s="2">
        <v>2</v>
      </c>
      <c r="G685" s="15">
        <v>945.91</v>
      </c>
      <c r="H685" s="15">
        <v>1891.82</v>
      </c>
      <c r="I685" s="2">
        <v>5</v>
      </c>
      <c r="J685" s="15">
        <v>1797.23</v>
      </c>
    </row>
    <row r="686" spans="1:10" x14ac:dyDescent="0.3">
      <c r="A686" s="2" t="s">
        <v>717</v>
      </c>
      <c r="B686" s="3">
        <v>45997</v>
      </c>
      <c r="C686" s="2" t="s">
        <v>15</v>
      </c>
      <c r="D686" s="2" t="s">
        <v>16</v>
      </c>
      <c r="E686" s="2" t="s">
        <v>24</v>
      </c>
      <c r="F686" s="2">
        <v>8</v>
      </c>
      <c r="G686" s="15">
        <v>798.87</v>
      </c>
      <c r="H686" s="15">
        <v>6390.96</v>
      </c>
      <c r="I686" s="2">
        <v>15</v>
      </c>
      <c r="J686" s="15">
        <v>5432.32</v>
      </c>
    </row>
    <row r="687" spans="1:10" x14ac:dyDescent="0.3">
      <c r="A687" s="2" t="s">
        <v>718</v>
      </c>
      <c r="B687" s="3">
        <v>46055</v>
      </c>
      <c r="C687" s="2" t="s">
        <v>22</v>
      </c>
      <c r="D687" s="2" t="s">
        <v>44</v>
      </c>
      <c r="E687" s="2" t="s">
        <v>76</v>
      </c>
      <c r="F687" s="2">
        <v>13</v>
      </c>
      <c r="G687" s="15">
        <v>496.4</v>
      </c>
      <c r="H687" s="15">
        <v>6453.2</v>
      </c>
      <c r="I687" s="2">
        <v>10</v>
      </c>
      <c r="J687" s="15">
        <v>5807.88</v>
      </c>
    </row>
    <row r="688" spans="1:10" x14ac:dyDescent="0.3">
      <c r="A688" s="2" t="s">
        <v>719</v>
      </c>
      <c r="B688" s="3">
        <v>45906</v>
      </c>
      <c r="C688" s="2" t="s">
        <v>15</v>
      </c>
      <c r="D688" s="2" t="s">
        <v>26</v>
      </c>
      <c r="E688" s="2" t="s">
        <v>76</v>
      </c>
      <c r="F688" s="2">
        <v>14</v>
      </c>
      <c r="G688" s="15">
        <v>319.07</v>
      </c>
      <c r="H688" s="15">
        <v>4466.9799999999996</v>
      </c>
      <c r="I688" s="2">
        <v>10</v>
      </c>
      <c r="J688" s="15">
        <v>4020.28</v>
      </c>
    </row>
    <row r="689" spans="1:10" x14ac:dyDescent="0.3">
      <c r="A689" s="2" t="s">
        <v>720</v>
      </c>
      <c r="B689" s="3">
        <v>45932</v>
      </c>
      <c r="C689" s="2" t="s">
        <v>18</v>
      </c>
      <c r="D689" s="2" t="s">
        <v>19</v>
      </c>
      <c r="E689" s="2" t="s">
        <v>37</v>
      </c>
      <c r="F689" s="2">
        <v>13</v>
      </c>
      <c r="G689" s="15">
        <v>67.91</v>
      </c>
      <c r="H689" s="15">
        <v>882.83</v>
      </c>
      <c r="I689" s="2">
        <v>15</v>
      </c>
      <c r="J689" s="15">
        <v>750.41</v>
      </c>
    </row>
    <row r="690" spans="1:10" x14ac:dyDescent="0.3">
      <c r="A690" s="2" t="s">
        <v>721</v>
      </c>
      <c r="B690" s="3">
        <v>46005</v>
      </c>
      <c r="C690" s="2" t="s">
        <v>15</v>
      </c>
      <c r="D690" s="2" t="s">
        <v>29</v>
      </c>
      <c r="E690" s="2" t="s">
        <v>27</v>
      </c>
      <c r="F690" s="2">
        <v>5</v>
      </c>
      <c r="G690" s="15">
        <v>585.85</v>
      </c>
      <c r="H690" s="15">
        <v>2929.25</v>
      </c>
      <c r="I690" s="2">
        <v>0</v>
      </c>
      <c r="J690" s="15">
        <v>2929.25</v>
      </c>
    </row>
    <row r="691" spans="1:10" x14ac:dyDescent="0.3">
      <c r="A691" s="2" t="s">
        <v>722</v>
      </c>
      <c r="B691" s="3">
        <v>45993</v>
      </c>
      <c r="C691" s="2" t="s">
        <v>22</v>
      </c>
      <c r="D691" s="2" t="s">
        <v>16</v>
      </c>
      <c r="E691" s="2" t="s">
        <v>24</v>
      </c>
      <c r="F691" s="2">
        <v>7</v>
      </c>
      <c r="G691" s="15">
        <v>516.41</v>
      </c>
      <c r="H691" s="15">
        <v>3614.87</v>
      </c>
      <c r="I691" s="2">
        <v>5</v>
      </c>
      <c r="J691" s="15">
        <v>3434.13</v>
      </c>
    </row>
    <row r="692" spans="1:10" x14ac:dyDescent="0.3">
      <c r="A692" s="2" t="s">
        <v>723</v>
      </c>
      <c r="B692" s="3">
        <v>45950</v>
      </c>
      <c r="C692" s="2" t="s">
        <v>18</v>
      </c>
      <c r="D692" s="2" t="s">
        <v>44</v>
      </c>
      <c r="E692" s="2" t="s">
        <v>37</v>
      </c>
      <c r="F692" s="2">
        <v>12</v>
      </c>
      <c r="G692" s="15">
        <v>805.19</v>
      </c>
      <c r="H692" s="15">
        <v>9662.2800000000007</v>
      </c>
      <c r="I692" s="2">
        <v>15</v>
      </c>
      <c r="J692" s="15">
        <v>8212.94</v>
      </c>
    </row>
    <row r="693" spans="1:10" x14ac:dyDescent="0.3">
      <c r="A693" s="2" t="s">
        <v>724</v>
      </c>
      <c r="B693" s="3">
        <v>45969</v>
      </c>
      <c r="C693" s="2" t="s">
        <v>15</v>
      </c>
      <c r="D693" s="2" t="s">
        <v>52</v>
      </c>
      <c r="E693" s="2" t="s">
        <v>13</v>
      </c>
      <c r="F693" s="2">
        <v>16</v>
      </c>
      <c r="G693" s="15">
        <v>282.64</v>
      </c>
      <c r="H693" s="15">
        <v>4522.24</v>
      </c>
      <c r="I693" s="2">
        <v>0</v>
      </c>
      <c r="J693" s="15">
        <v>4522.24</v>
      </c>
    </row>
    <row r="694" spans="1:10" x14ac:dyDescent="0.3">
      <c r="A694" s="2" t="s">
        <v>725</v>
      </c>
      <c r="B694" s="3">
        <v>45832</v>
      </c>
      <c r="C694" s="2" t="s">
        <v>11</v>
      </c>
      <c r="D694" s="2" t="s">
        <v>44</v>
      </c>
      <c r="E694" s="2" t="s">
        <v>13</v>
      </c>
      <c r="F694" s="2">
        <v>9</v>
      </c>
      <c r="G694" s="15">
        <v>309.52</v>
      </c>
      <c r="H694" s="15">
        <v>2785.68</v>
      </c>
      <c r="I694" s="2">
        <v>0</v>
      </c>
      <c r="J694" s="15">
        <v>2785.68</v>
      </c>
    </row>
    <row r="695" spans="1:10" x14ac:dyDescent="0.3">
      <c r="A695" s="2" t="s">
        <v>726</v>
      </c>
      <c r="B695" s="3">
        <v>46141</v>
      </c>
      <c r="C695" s="2" t="s">
        <v>22</v>
      </c>
      <c r="D695" s="2" t="s">
        <v>23</v>
      </c>
      <c r="E695" s="2" t="s">
        <v>37</v>
      </c>
      <c r="F695" s="2">
        <v>16</v>
      </c>
      <c r="G695" s="15">
        <v>120.48</v>
      </c>
      <c r="H695" s="15">
        <v>1927.68</v>
      </c>
      <c r="I695" s="2">
        <v>5</v>
      </c>
      <c r="J695" s="15">
        <v>1831.3</v>
      </c>
    </row>
    <row r="696" spans="1:10" x14ac:dyDescent="0.3">
      <c r="A696" s="2" t="s">
        <v>727</v>
      </c>
      <c r="B696" s="3">
        <v>46067</v>
      </c>
      <c r="C696" s="2" t="s">
        <v>15</v>
      </c>
      <c r="D696" s="2" t="s">
        <v>52</v>
      </c>
      <c r="E696" s="2" t="s">
        <v>13</v>
      </c>
      <c r="F696" s="2">
        <v>4</v>
      </c>
      <c r="G696" s="15">
        <v>271.36</v>
      </c>
      <c r="H696" s="15">
        <v>1085.44</v>
      </c>
      <c r="I696" s="2">
        <v>5</v>
      </c>
      <c r="J696" s="15">
        <v>1031.17</v>
      </c>
    </row>
    <row r="697" spans="1:10" x14ac:dyDescent="0.3">
      <c r="A697" s="2" t="s">
        <v>728</v>
      </c>
      <c r="B697" s="3">
        <v>45831</v>
      </c>
      <c r="C697" s="2" t="s">
        <v>22</v>
      </c>
      <c r="D697" s="2" t="s">
        <v>16</v>
      </c>
      <c r="E697" s="2" t="s">
        <v>33</v>
      </c>
      <c r="F697" s="2">
        <v>12</v>
      </c>
      <c r="G697" s="15">
        <v>472.66</v>
      </c>
      <c r="H697" s="15">
        <v>5671.92</v>
      </c>
      <c r="I697" s="2">
        <v>0</v>
      </c>
      <c r="J697" s="15">
        <v>5671.92</v>
      </c>
    </row>
    <row r="698" spans="1:10" x14ac:dyDescent="0.3">
      <c r="A698" s="2" t="s">
        <v>729</v>
      </c>
      <c r="B698" s="3">
        <v>45970</v>
      </c>
      <c r="C698" s="2" t="s">
        <v>15</v>
      </c>
      <c r="D698" s="2" t="s">
        <v>16</v>
      </c>
      <c r="E698" s="2" t="s">
        <v>27</v>
      </c>
      <c r="F698" s="2">
        <v>18</v>
      </c>
      <c r="G698" s="15">
        <v>525.55999999999995</v>
      </c>
      <c r="H698" s="15">
        <v>9460.08</v>
      </c>
      <c r="I698" s="2">
        <v>10</v>
      </c>
      <c r="J698" s="15">
        <v>8514.07</v>
      </c>
    </row>
    <row r="699" spans="1:10" x14ac:dyDescent="0.3">
      <c r="A699" s="2" t="s">
        <v>730</v>
      </c>
      <c r="B699" s="3">
        <v>45881</v>
      </c>
      <c r="C699" s="2" t="s">
        <v>11</v>
      </c>
      <c r="D699" s="2" t="s">
        <v>16</v>
      </c>
      <c r="E699" s="2" t="s">
        <v>39</v>
      </c>
      <c r="F699" s="2">
        <v>8</v>
      </c>
      <c r="G699" s="15">
        <v>332.16</v>
      </c>
      <c r="H699" s="15">
        <v>2657.28</v>
      </c>
      <c r="I699" s="2">
        <v>0</v>
      </c>
      <c r="J699" s="15">
        <v>2657.28</v>
      </c>
    </row>
    <row r="700" spans="1:10" x14ac:dyDescent="0.3">
      <c r="A700" s="2" t="s">
        <v>731</v>
      </c>
      <c r="B700" s="3">
        <v>45968</v>
      </c>
      <c r="C700" s="2" t="s">
        <v>18</v>
      </c>
      <c r="D700" s="2" t="s">
        <v>60</v>
      </c>
      <c r="E700" s="2" t="s">
        <v>33</v>
      </c>
      <c r="F700" s="2">
        <v>2</v>
      </c>
      <c r="G700" s="15">
        <v>957.29</v>
      </c>
      <c r="H700" s="15">
        <v>1914.58</v>
      </c>
      <c r="I700" s="2">
        <v>5</v>
      </c>
      <c r="J700" s="15">
        <v>1818.85</v>
      </c>
    </row>
    <row r="701" spans="1:10" x14ac:dyDescent="0.3">
      <c r="A701" s="2" t="s">
        <v>732</v>
      </c>
      <c r="B701" s="3">
        <v>46089</v>
      </c>
      <c r="C701" s="2" t="s">
        <v>11</v>
      </c>
      <c r="D701" s="2" t="s">
        <v>32</v>
      </c>
      <c r="E701" s="2" t="s">
        <v>13</v>
      </c>
      <c r="F701" s="2">
        <v>9</v>
      </c>
      <c r="G701" s="15">
        <v>350.64</v>
      </c>
      <c r="H701" s="15">
        <v>3155.76</v>
      </c>
      <c r="I701" s="2">
        <v>5</v>
      </c>
      <c r="J701" s="15">
        <v>2997.97</v>
      </c>
    </row>
    <row r="702" spans="1:10" x14ac:dyDescent="0.3">
      <c r="A702" s="2" t="s">
        <v>733</v>
      </c>
      <c r="B702" s="3">
        <v>45872</v>
      </c>
      <c r="C702" s="2" t="s">
        <v>22</v>
      </c>
      <c r="D702" s="2" t="s">
        <v>19</v>
      </c>
      <c r="E702" s="2" t="s">
        <v>27</v>
      </c>
      <c r="F702" s="2">
        <v>13</v>
      </c>
      <c r="G702" s="15">
        <v>544.59</v>
      </c>
      <c r="H702" s="15">
        <v>7079.67</v>
      </c>
      <c r="I702" s="2">
        <v>10</v>
      </c>
      <c r="J702" s="15">
        <v>6371.7</v>
      </c>
    </row>
    <row r="703" spans="1:10" x14ac:dyDescent="0.3">
      <c r="A703" s="2" t="s">
        <v>734</v>
      </c>
      <c r="B703" s="3">
        <v>45917</v>
      </c>
      <c r="C703" s="2" t="s">
        <v>22</v>
      </c>
      <c r="D703" s="2" t="s">
        <v>52</v>
      </c>
      <c r="E703" s="2" t="s">
        <v>27</v>
      </c>
      <c r="F703" s="2">
        <v>17</v>
      </c>
      <c r="G703" s="15">
        <v>64.900000000000006</v>
      </c>
      <c r="H703" s="15">
        <v>1103.3</v>
      </c>
      <c r="I703" s="2">
        <v>0</v>
      </c>
      <c r="J703" s="15">
        <v>1103.3</v>
      </c>
    </row>
    <row r="704" spans="1:10" x14ac:dyDescent="0.3">
      <c r="A704" s="2" t="s">
        <v>735</v>
      </c>
      <c r="B704" s="3">
        <v>45881</v>
      </c>
      <c r="C704" s="2" t="s">
        <v>11</v>
      </c>
      <c r="D704" s="2" t="s">
        <v>29</v>
      </c>
      <c r="E704" s="2" t="s">
        <v>30</v>
      </c>
      <c r="F704" s="2">
        <v>17</v>
      </c>
      <c r="G704" s="15">
        <v>537.07000000000005</v>
      </c>
      <c r="H704" s="15">
        <v>9130.19</v>
      </c>
      <c r="I704" s="2">
        <v>15</v>
      </c>
      <c r="J704" s="15">
        <v>7760.66</v>
      </c>
    </row>
    <row r="705" spans="1:10" x14ac:dyDescent="0.3">
      <c r="A705" s="2" t="s">
        <v>736</v>
      </c>
      <c r="B705" s="3">
        <v>46038</v>
      </c>
      <c r="C705" s="2" t="s">
        <v>22</v>
      </c>
      <c r="D705" s="2" t="s">
        <v>26</v>
      </c>
      <c r="E705" s="2" t="s">
        <v>33</v>
      </c>
      <c r="F705" s="2">
        <v>1</v>
      </c>
      <c r="G705" s="15">
        <v>441.68</v>
      </c>
      <c r="H705" s="15">
        <v>441.68</v>
      </c>
      <c r="I705" s="2">
        <v>20</v>
      </c>
      <c r="J705" s="15">
        <v>353.34</v>
      </c>
    </row>
    <row r="706" spans="1:10" x14ac:dyDescent="0.3">
      <c r="A706" s="2" t="s">
        <v>737</v>
      </c>
      <c r="B706" s="3">
        <v>46026</v>
      </c>
      <c r="C706" s="2" t="s">
        <v>22</v>
      </c>
      <c r="D706" s="2" t="s">
        <v>60</v>
      </c>
      <c r="E706" s="2" t="s">
        <v>37</v>
      </c>
      <c r="F706" s="2">
        <v>14</v>
      </c>
      <c r="G706" s="15">
        <v>239.11</v>
      </c>
      <c r="H706" s="15">
        <v>3347.54</v>
      </c>
      <c r="I706" s="2">
        <v>10</v>
      </c>
      <c r="J706" s="15">
        <v>3012.79</v>
      </c>
    </row>
    <row r="707" spans="1:10" x14ac:dyDescent="0.3">
      <c r="A707" s="2" t="s">
        <v>738</v>
      </c>
      <c r="B707" s="3">
        <v>45960</v>
      </c>
      <c r="C707" s="2" t="s">
        <v>18</v>
      </c>
      <c r="D707" s="2" t="s">
        <v>44</v>
      </c>
      <c r="E707" s="2" t="s">
        <v>24</v>
      </c>
      <c r="F707" s="2">
        <v>11</v>
      </c>
      <c r="G707" s="15">
        <v>244.29</v>
      </c>
      <c r="H707" s="15">
        <v>2687.19</v>
      </c>
      <c r="I707" s="2">
        <v>0</v>
      </c>
      <c r="J707" s="15">
        <v>2687.19</v>
      </c>
    </row>
    <row r="708" spans="1:10" x14ac:dyDescent="0.3">
      <c r="A708" s="2" t="s">
        <v>739</v>
      </c>
      <c r="B708" s="3">
        <v>45901</v>
      </c>
      <c r="C708" s="2" t="s">
        <v>22</v>
      </c>
      <c r="D708" s="2" t="s">
        <v>52</v>
      </c>
      <c r="E708" s="2" t="s">
        <v>39</v>
      </c>
      <c r="F708" s="2">
        <v>6</v>
      </c>
      <c r="G708" s="15">
        <v>944.76</v>
      </c>
      <c r="H708" s="15">
        <v>5668.56</v>
      </c>
      <c r="I708" s="2">
        <v>10</v>
      </c>
      <c r="J708" s="15">
        <v>5101.7</v>
      </c>
    </row>
    <row r="709" spans="1:10" x14ac:dyDescent="0.3">
      <c r="A709" s="2" t="s">
        <v>740</v>
      </c>
      <c r="B709" s="3">
        <v>45838</v>
      </c>
      <c r="C709" s="2" t="s">
        <v>15</v>
      </c>
      <c r="D709" s="2" t="s">
        <v>23</v>
      </c>
      <c r="E709" s="2" t="s">
        <v>27</v>
      </c>
      <c r="F709" s="2">
        <v>8</v>
      </c>
      <c r="G709" s="15">
        <v>857.31</v>
      </c>
      <c r="H709" s="15">
        <v>6858.48</v>
      </c>
      <c r="I709" s="2">
        <v>10</v>
      </c>
      <c r="J709" s="15">
        <v>6172.63</v>
      </c>
    </row>
    <row r="710" spans="1:10" x14ac:dyDescent="0.3">
      <c r="A710" s="2" t="s">
        <v>741</v>
      </c>
      <c r="B710" s="3">
        <v>45851</v>
      </c>
      <c r="C710" s="2" t="s">
        <v>15</v>
      </c>
      <c r="D710" s="2" t="s">
        <v>44</v>
      </c>
      <c r="E710" s="2" t="s">
        <v>39</v>
      </c>
      <c r="F710" s="2">
        <v>3</v>
      </c>
      <c r="G710" s="15">
        <v>947.56</v>
      </c>
      <c r="H710" s="15">
        <v>2842.68</v>
      </c>
      <c r="I710" s="2">
        <v>5</v>
      </c>
      <c r="J710" s="15">
        <v>2700.55</v>
      </c>
    </row>
    <row r="711" spans="1:10" x14ac:dyDescent="0.3">
      <c r="A711" s="2" t="s">
        <v>742</v>
      </c>
      <c r="B711" s="3">
        <v>45874</v>
      </c>
      <c r="C711" s="2" t="s">
        <v>22</v>
      </c>
      <c r="D711" s="2" t="s">
        <v>52</v>
      </c>
      <c r="E711" s="2" t="s">
        <v>37</v>
      </c>
      <c r="F711" s="2">
        <v>16</v>
      </c>
      <c r="G711" s="15">
        <v>772.39</v>
      </c>
      <c r="H711" s="15">
        <v>12358.24</v>
      </c>
      <c r="I711" s="2">
        <v>5</v>
      </c>
      <c r="J711" s="15">
        <v>11740.33</v>
      </c>
    </row>
    <row r="712" spans="1:10" x14ac:dyDescent="0.3">
      <c r="A712" s="2" t="s">
        <v>743</v>
      </c>
      <c r="B712" s="3">
        <v>45872</v>
      </c>
      <c r="C712" s="2" t="s">
        <v>18</v>
      </c>
      <c r="D712" s="2" t="s">
        <v>12</v>
      </c>
      <c r="E712" s="2" t="s">
        <v>30</v>
      </c>
      <c r="F712" s="2">
        <v>4</v>
      </c>
      <c r="G712" s="15">
        <v>369.81</v>
      </c>
      <c r="H712" s="15">
        <v>1479.24</v>
      </c>
      <c r="I712" s="2">
        <v>0</v>
      </c>
      <c r="J712" s="15">
        <v>1479.24</v>
      </c>
    </row>
    <row r="713" spans="1:10" x14ac:dyDescent="0.3">
      <c r="A713" s="2" t="s">
        <v>744</v>
      </c>
      <c r="B713" s="3">
        <v>46103</v>
      </c>
      <c r="C713" s="2" t="s">
        <v>15</v>
      </c>
      <c r="D713" s="2" t="s">
        <v>32</v>
      </c>
      <c r="E713" s="2" t="s">
        <v>27</v>
      </c>
      <c r="F713" s="2">
        <v>9</v>
      </c>
      <c r="G713" s="15">
        <v>546.74</v>
      </c>
      <c r="H713" s="15">
        <v>4920.66</v>
      </c>
      <c r="I713" s="2">
        <v>10</v>
      </c>
      <c r="J713" s="15">
        <v>4428.59</v>
      </c>
    </row>
    <row r="714" spans="1:10" x14ac:dyDescent="0.3">
      <c r="A714" s="2" t="s">
        <v>745</v>
      </c>
      <c r="B714" s="3">
        <v>45833</v>
      </c>
      <c r="C714" s="2" t="s">
        <v>22</v>
      </c>
      <c r="D714" s="2" t="s">
        <v>52</v>
      </c>
      <c r="E714" s="2" t="s">
        <v>76</v>
      </c>
      <c r="F714" s="2">
        <v>1</v>
      </c>
      <c r="G714" s="15">
        <v>626.02</v>
      </c>
      <c r="H714" s="15">
        <v>626.02</v>
      </c>
      <c r="I714" s="2">
        <v>10</v>
      </c>
      <c r="J714" s="15">
        <v>563.41999999999996</v>
      </c>
    </row>
    <row r="715" spans="1:10" x14ac:dyDescent="0.3">
      <c r="A715" s="2" t="s">
        <v>746</v>
      </c>
      <c r="B715" s="3">
        <v>46005</v>
      </c>
      <c r="C715" s="2" t="s">
        <v>11</v>
      </c>
      <c r="D715" s="2" t="s">
        <v>60</v>
      </c>
      <c r="E715" s="2" t="s">
        <v>20</v>
      </c>
      <c r="F715" s="2">
        <v>9</v>
      </c>
      <c r="G715" s="15">
        <v>936.67</v>
      </c>
      <c r="H715" s="15">
        <v>8430.0300000000007</v>
      </c>
      <c r="I715" s="2">
        <v>10</v>
      </c>
      <c r="J715" s="15">
        <v>7587.03</v>
      </c>
    </row>
    <row r="716" spans="1:10" x14ac:dyDescent="0.3">
      <c r="A716" s="2" t="s">
        <v>747</v>
      </c>
      <c r="B716" s="3">
        <v>46133</v>
      </c>
      <c r="C716" s="2" t="s">
        <v>22</v>
      </c>
      <c r="D716" s="2" t="s">
        <v>60</v>
      </c>
      <c r="E716" s="2" t="s">
        <v>24</v>
      </c>
      <c r="F716" s="2">
        <v>19</v>
      </c>
      <c r="G716" s="15">
        <v>832.61</v>
      </c>
      <c r="H716" s="15">
        <v>15819.59</v>
      </c>
      <c r="I716" s="2">
        <v>0</v>
      </c>
      <c r="J716" s="15">
        <v>15819.59</v>
      </c>
    </row>
    <row r="717" spans="1:10" x14ac:dyDescent="0.3">
      <c r="A717" s="2" t="s">
        <v>748</v>
      </c>
      <c r="B717" s="3">
        <v>45980</v>
      </c>
      <c r="C717" s="2" t="s">
        <v>15</v>
      </c>
      <c r="D717" s="2" t="s">
        <v>12</v>
      </c>
      <c r="E717" s="2" t="s">
        <v>33</v>
      </c>
      <c r="F717" s="2">
        <v>20</v>
      </c>
      <c r="G717" s="15">
        <v>937.95</v>
      </c>
      <c r="H717" s="15">
        <v>18759</v>
      </c>
      <c r="I717" s="2">
        <v>5</v>
      </c>
      <c r="J717" s="15">
        <v>17821.05</v>
      </c>
    </row>
    <row r="718" spans="1:10" x14ac:dyDescent="0.3">
      <c r="A718" s="2" t="s">
        <v>749</v>
      </c>
      <c r="B718" s="3">
        <v>46099</v>
      </c>
      <c r="C718" s="2" t="s">
        <v>22</v>
      </c>
      <c r="D718" s="2" t="s">
        <v>29</v>
      </c>
      <c r="E718" s="2" t="s">
        <v>20</v>
      </c>
      <c r="F718" s="2">
        <v>20</v>
      </c>
      <c r="G718" s="15">
        <v>174.84</v>
      </c>
      <c r="H718" s="15">
        <v>3496.8</v>
      </c>
      <c r="I718" s="2">
        <v>10</v>
      </c>
      <c r="J718" s="15">
        <v>3147.12</v>
      </c>
    </row>
    <row r="719" spans="1:10" x14ac:dyDescent="0.3">
      <c r="A719" s="2" t="s">
        <v>750</v>
      </c>
      <c r="B719" s="3">
        <v>46048</v>
      </c>
      <c r="C719" s="2" t="s">
        <v>22</v>
      </c>
      <c r="D719" s="2" t="s">
        <v>12</v>
      </c>
      <c r="E719" s="2" t="s">
        <v>37</v>
      </c>
      <c r="F719" s="2">
        <v>17</v>
      </c>
      <c r="G719" s="15">
        <v>308.14999999999998</v>
      </c>
      <c r="H719" s="15">
        <v>5238.55</v>
      </c>
      <c r="I719" s="2">
        <v>20</v>
      </c>
      <c r="J719" s="15">
        <v>4190.84</v>
      </c>
    </row>
    <row r="720" spans="1:10" x14ac:dyDescent="0.3">
      <c r="A720" s="2" t="s">
        <v>751</v>
      </c>
      <c r="B720" s="3">
        <v>45920</v>
      </c>
      <c r="C720" s="2" t="s">
        <v>15</v>
      </c>
      <c r="D720" s="2" t="s">
        <v>29</v>
      </c>
      <c r="E720" s="2" t="s">
        <v>87</v>
      </c>
      <c r="F720" s="2">
        <v>15</v>
      </c>
      <c r="G720" s="15">
        <v>873</v>
      </c>
      <c r="H720" s="15">
        <v>13095</v>
      </c>
      <c r="I720" s="2">
        <v>0</v>
      </c>
      <c r="J720" s="15">
        <v>13095</v>
      </c>
    </row>
    <row r="721" spans="1:10" x14ac:dyDescent="0.3">
      <c r="A721" s="2" t="s">
        <v>752</v>
      </c>
      <c r="B721" s="3">
        <v>45860</v>
      </c>
      <c r="C721" s="2" t="s">
        <v>15</v>
      </c>
      <c r="D721" s="2" t="s">
        <v>29</v>
      </c>
      <c r="E721" s="2" t="s">
        <v>87</v>
      </c>
      <c r="F721" s="2">
        <v>13</v>
      </c>
      <c r="G721" s="15">
        <v>502.94</v>
      </c>
      <c r="H721" s="15">
        <v>6538.22</v>
      </c>
      <c r="I721" s="2">
        <v>0</v>
      </c>
      <c r="J721" s="15">
        <v>6538.22</v>
      </c>
    </row>
    <row r="722" spans="1:10" x14ac:dyDescent="0.3">
      <c r="A722" s="2" t="s">
        <v>753</v>
      </c>
      <c r="B722" s="3">
        <v>46077</v>
      </c>
      <c r="C722" s="2" t="s">
        <v>18</v>
      </c>
      <c r="D722" s="2" t="s">
        <v>16</v>
      </c>
      <c r="E722" s="2" t="s">
        <v>76</v>
      </c>
      <c r="F722" s="2">
        <v>2</v>
      </c>
      <c r="G722" s="15">
        <v>111.99</v>
      </c>
      <c r="H722" s="15">
        <v>223.98</v>
      </c>
      <c r="I722" s="2">
        <v>5</v>
      </c>
      <c r="J722" s="15">
        <v>212.78</v>
      </c>
    </row>
    <row r="723" spans="1:10" x14ac:dyDescent="0.3">
      <c r="A723" s="2" t="s">
        <v>754</v>
      </c>
      <c r="B723" s="3">
        <v>46012</v>
      </c>
      <c r="C723" s="2" t="s">
        <v>11</v>
      </c>
      <c r="D723" s="2" t="s">
        <v>19</v>
      </c>
      <c r="E723" s="2" t="s">
        <v>13</v>
      </c>
      <c r="F723" s="2">
        <v>11</v>
      </c>
      <c r="G723" s="15">
        <v>321.86</v>
      </c>
      <c r="H723" s="15">
        <v>3540.46</v>
      </c>
      <c r="I723" s="2">
        <v>10</v>
      </c>
      <c r="J723" s="15">
        <v>3186.41</v>
      </c>
    </row>
    <row r="724" spans="1:10" x14ac:dyDescent="0.3">
      <c r="A724" s="2" t="s">
        <v>755</v>
      </c>
      <c r="B724" s="3">
        <v>46142</v>
      </c>
      <c r="C724" s="2" t="s">
        <v>18</v>
      </c>
      <c r="D724" s="2" t="s">
        <v>32</v>
      </c>
      <c r="E724" s="2" t="s">
        <v>87</v>
      </c>
      <c r="F724" s="2">
        <v>11</v>
      </c>
      <c r="G724" s="15">
        <v>146.49</v>
      </c>
      <c r="H724" s="15">
        <v>1611.39</v>
      </c>
      <c r="I724" s="2">
        <v>10</v>
      </c>
      <c r="J724" s="15">
        <v>1450.25</v>
      </c>
    </row>
    <row r="725" spans="1:10" x14ac:dyDescent="0.3">
      <c r="A725" s="2" t="s">
        <v>756</v>
      </c>
      <c r="B725" s="3">
        <v>45971</v>
      </c>
      <c r="C725" s="2" t="s">
        <v>11</v>
      </c>
      <c r="D725" s="2" t="s">
        <v>52</v>
      </c>
      <c r="E725" s="2" t="s">
        <v>13</v>
      </c>
      <c r="F725" s="2">
        <v>17</v>
      </c>
      <c r="G725" s="15">
        <v>422.36</v>
      </c>
      <c r="H725" s="15">
        <v>7180.12</v>
      </c>
      <c r="I725" s="2">
        <v>10</v>
      </c>
      <c r="J725" s="15">
        <v>6462.11</v>
      </c>
    </row>
    <row r="726" spans="1:10" x14ac:dyDescent="0.3">
      <c r="A726" s="2" t="s">
        <v>757</v>
      </c>
      <c r="B726" s="3">
        <v>45871</v>
      </c>
      <c r="C726" s="2" t="s">
        <v>15</v>
      </c>
      <c r="D726" s="2" t="s">
        <v>23</v>
      </c>
      <c r="E726" s="2" t="s">
        <v>13</v>
      </c>
      <c r="F726" s="2">
        <v>6</v>
      </c>
      <c r="G726" s="15">
        <v>787.74</v>
      </c>
      <c r="H726" s="15">
        <v>4726.4399999999996</v>
      </c>
      <c r="I726" s="2">
        <v>0</v>
      </c>
      <c r="J726" s="15">
        <v>4726.4399999999996</v>
      </c>
    </row>
    <row r="727" spans="1:10" x14ac:dyDescent="0.3">
      <c r="A727" s="2" t="s">
        <v>758</v>
      </c>
      <c r="B727" s="3">
        <v>45999</v>
      </c>
      <c r="C727" s="2" t="s">
        <v>11</v>
      </c>
      <c r="D727" s="2" t="s">
        <v>52</v>
      </c>
      <c r="E727" s="2" t="s">
        <v>24</v>
      </c>
      <c r="F727" s="2">
        <v>19</v>
      </c>
      <c r="G727" s="15">
        <v>321.93</v>
      </c>
      <c r="H727" s="15">
        <v>6116.67</v>
      </c>
      <c r="I727" s="2">
        <v>20</v>
      </c>
      <c r="J727" s="15">
        <v>4893.34</v>
      </c>
    </row>
    <row r="728" spans="1:10" x14ac:dyDescent="0.3">
      <c r="A728" s="2" t="s">
        <v>759</v>
      </c>
      <c r="B728" s="3">
        <v>46142</v>
      </c>
      <c r="C728" s="2" t="s">
        <v>18</v>
      </c>
      <c r="D728" s="2" t="s">
        <v>12</v>
      </c>
      <c r="E728" s="2" t="s">
        <v>27</v>
      </c>
      <c r="F728" s="2">
        <v>1</v>
      </c>
      <c r="G728" s="15">
        <v>882.41</v>
      </c>
      <c r="H728" s="15">
        <v>882.41</v>
      </c>
      <c r="I728" s="2">
        <v>0</v>
      </c>
      <c r="J728" s="15">
        <v>882.41</v>
      </c>
    </row>
    <row r="729" spans="1:10" x14ac:dyDescent="0.3">
      <c r="A729" s="2" t="s">
        <v>760</v>
      </c>
      <c r="B729" s="3">
        <v>46140</v>
      </c>
      <c r="C729" s="2" t="s">
        <v>11</v>
      </c>
      <c r="D729" s="2" t="s">
        <v>60</v>
      </c>
      <c r="E729" s="2" t="s">
        <v>76</v>
      </c>
      <c r="F729" s="2">
        <v>10</v>
      </c>
      <c r="G729" s="15">
        <v>690.24</v>
      </c>
      <c r="H729" s="15">
        <v>6902.4</v>
      </c>
      <c r="I729" s="2">
        <v>5</v>
      </c>
      <c r="J729" s="15">
        <v>6557.28</v>
      </c>
    </row>
    <row r="730" spans="1:10" x14ac:dyDescent="0.3">
      <c r="A730" s="2" t="s">
        <v>761</v>
      </c>
      <c r="B730" s="3">
        <v>45902</v>
      </c>
      <c r="C730" s="2" t="s">
        <v>15</v>
      </c>
      <c r="D730" s="2" t="s">
        <v>26</v>
      </c>
      <c r="E730" s="2" t="s">
        <v>13</v>
      </c>
      <c r="F730" s="2">
        <v>5</v>
      </c>
      <c r="G730" s="15">
        <v>395.11</v>
      </c>
      <c r="H730" s="15">
        <v>1975.55</v>
      </c>
      <c r="I730" s="2">
        <v>20</v>
      </c>
      <c r="J730" s="15">
        <v>1580.44</v>
      </c>
    </row>
    <row r="731" spans="1:10" x14ac:dyDescent="0.3">
      <c r="A731" s="2" t="s">
        <v>762</v>
      </c>
      <c r="B731" s="3">
        <v>45800</v>
      </c>
      <c r="C731" s="2" t="s">
        <v>15</v>
      </c>
      <c r="D731" s="2" t="s">
        <v>52</v>
      </c>
      <c r="E731" s="2" t="s">
        <v>76</v>
      </c>
      <c r="F731" s="2">
        <v>1</v>
      </c>
      <c r="G731" s="15">
        <v>612.80999999999995</v>
      </c>
      <c r="H731" s="15">
        <v>612.80999999999995</v>
      </c>
      <c r="I731" s="2">
        <v>5</v>
      </c>
      <c r="J731" s="15">
        <v>582.16999999999996</v>
      </c>
    </row>
    <row r="732" spans="1:10" x14ac:dyDescent="0.3">
      <c r="A732" s="2" t="s">
        <v>763</v>
      </c>
      <c r="B732" s="3">
        <v>45948</v>
      </c>
      <c r="C732" s="2" t="s">
        <v>11</v>
      </c>
      <c r="D732" s="2" t="s">
        <v>19</v>
      </c>
      <c r="E732" s="2" t="s">
        <v>76</v>
      </c>
      <c r="F732" s="2">
        <v>6</v>
      </c>
      <c r="G732" s="15">
        <v>324.60000000000002</v>
      </c>
      <c r="H732" s="15">
        <v>1947.6</v>
      </c>
      <c r="I732" s="2">
        <v>0</v>
      </c>
      <c r="J732" s="15">
        <v>1947.6</v>
      </c>
    </row>
    <row r="733" spans="1:10" x14ac:dyDescent="0.3">
      <c r="A733" s="2" t="s">
        <v>764</v>
      </c>
      <c r="B733" s="3">
        <v>45870</v>
      </c>
      <c r="C733" s="2" t="s">
        <v>22</v>
      </c>
      <c r="D733" s="2" t="s">
        <v>44</v>
      </c>
      <c r="E733" s="2" t="s">
        <v>13</v>
      </c>
      <c r="F733" s="2">
        <v>8</v>
      </c>
      <c r="G733" s="15">
        <v>246.52</v>
      </c>
      <c r="H733" s="15">
        <v>1972.16</v>
      </c>
      <c r="I733" s="2">
        <v>5</v>
      </c>
      <c r="J733" s="15">
        <v>1873.55</v>
      </c>
    </row>
    <row r="734" spans="1:10" x14ac:dyDescent="0.3">
      <c r="A734" s="2" t="s">
        <v>765</v>
      </c>
      <c r="B734" s="3">
        <v>46106</v>
      </c>
      <c r="C734" s="2" t="s">
        <v>11</v>
      </c>
      <c r="D734" s="2" t="s">
        <v>32</v>
      </c>
      <c r="E734" s="2" t="s">
        <v>20</v>
      </c>
      <c r="F734" s="2">
        <v>15</v>
      </c>
      <c r="G734" s="15">
        <v>181.33</v>
      </c>
      <c r="H734" s="15">
        <v>2719.95</v>
      </c>
      <c r="I734" s="2">
        <v>10</v>
      </c>
      <c r="J734" s="15">
        <v>2447.9499999999998</v>
      </c>
    </row>
    <row r="735" spans="1:10" x14ac:dyDescent="0.3">
      <c r="A735" s="2" t="s">
        <v>766</v>
      </c>
      <c r="B735" s="3">
        <v>46032</v>
      </c>
      <c r="C735" s="2" t="s">
        <v>18</v>
      </c>
      <c r="D735" s="2" t="s">
        <v>52</v>
      </c>
      <c r="E735" s="2" t="s">
        <v>13</v>
      </c>
      <c r="F735" s="2">
        <v>9</v>
      </c>
      <c r="G735" s="15">
        <v>568.91</v>
      </c>
      <c r="H735" s="15">
        <v>5120.1899999999996</v>
      </c>
      <c r="I735" s="2">
        <v>15</v>
      </c>
      <c r="J735" s="15">
        <v>4352.16</v>
      </c>
    </row>
    <row r="736" spans="1:10" x14ac:dyDescent="0.3">
      <c r="A736" s="2" t="s">
        <v>767</v>
      </c>
      <c r="B736" s="3">
        <v>45930</v>
      </c>
      <c r="C736" s="2" t="s">
        <v>11</v>
      </c>
      <c r="D736" s="2" t="s">
        <v>12</v>
      </c>
      <c r="E736" s="2" t="s">
        <v>20</v>
      </c>
      <c r="F736" s="2">
        <v>11</v>
      </c>
      <c r="G736" s="15">
        <v>581.87</v>
      </c>
      <c r="H736" s="15">
        <v>6400.57</v>
      </c>
      <c r="I736" s="2">
        <v>5</v>
      </c>
      <c r="J736" s="15">
        <v>6080.54</v>
      </c>
    </row>
    <row r="737" spans="1:10" x14ac:dyDescent="0.3">
      <c r="A737" s="2" t="s">
        <v>768</v>
      </c>
      <c r="B737" s="3">
        <v>46113</v>
      </c>
      <c r="C737" s="2" t="s">
        <v>15</v>
      </c>
      <c r="D737" s="2" t="s">
        <v>23</v>
      </c>
      <c r="E737" s="2" t="s">
        <v>30</v>
      </c>
      <c r="F737" s="2">
        <v>20</v>
      </c>
      <c r="G737" s="15">
        <v>532.9</v>
      </c>
      <c r="H737" s="15">
        <v>10658</v>
      </c>
      <c r="I737" s="2">
        <v>10</v>
      </c>
      <c r="J737" s="15">
        <v>9592.2000000000007</v>
      </c>
    </row>
    <row r="738" spans="1:10" x14ac:dyDescent="0.3">
      <c r="A738" s="2" t="s">
        <v>769</v>
      </c>
      <c r="B738" s="3">
        <v>45974</v>
      </c>
      <c r="C738" s="2" t="s">
        <v>15</v>
      </c>
      <c r="D738" s="2" t="s">
        <v>19</v>
      </c>
      <c r="E738" s="2" t="s">
        <v>20</v>
      </c>
      <c r="F738" s="2">
        <v>9</v>
      </c>
      <c r="G738" s="15">
        <v>82.41</v>
      </c>
      <c r="H738" s="15">
        <v>741.69</v>
      </c>
      <c r="I738" s="2">
        <v>0</v>
      </c>
      <c r="J738" s="15">
        <v>741.69</v>
      </c>
    </row>
    <row r="739" spans="1:10" x14ac:dyDescent="0.3">
      <c r="A739" s="2" t="s">
        <v>770</v>
      </c>
      <c r="B739" s="3">
        <v>45814</v>
      </c>
      <c r="C739" s="2" t="s">
        <v>15</v>
      </c>
      <c r="D739" s="2" t="s">
        <v>12</v>
      </c>
      <c r="E739" s="2" t="s">
        <v>33</v>
      </c>
      <c r="F739" s="2">
        <v>20</v>
      </c>
      <c r="G739" s="15">
        <v>476.56</v>
      </c>
      <c r="H739" s="15">
        <v>9531.2000000000007</v>
      </c>
      <c r="I739" s="2">
        <v>5</v>
      </c>
      <c r="J739" s="15">
        <v>9054.64</v>
      </c>
    </row>
    <row r="740" spans="1:10" x14ac:dyDescent="0.3">
      <c r="A740" s="2" t="s">
        <v>771</v>
      </c>
      <c r="B740" s="3">
        <v>45826</v>
      </c>
      <c r="C740" s="2" t="s">
        <v>18</v>
      </c>
      <c r="D740" s="2" t="s">
        <v>44</v>
      </c>
      <c r="E740" s="2" t="s">
        <v>39</v>
      </c>
      <c r="F740" s="2">
        <v>14</v>
      </c>
      <c r="G740" s="15">
        <v>885.42</v>
      </c>
      <c r="H740" s="15">
        <v>12395.88</v>
      </c>
      <c r="I740" s="2">
        <v>0</v>
      </c>
      <c r="J740" s="15">
        <v>12395.88</v>
      </c>
    </row>
    <row r="741" spans="1:10" x14ac:dyDescent="0.3">
      <c r="A741" s="2" t="s">
        <v>772</v>
      </c>
      <c r="B741" s="3">
        <v>46099</v>
      </c>
      <c r="C741" s="2" t="s">
        <v>18</v>
      </c>
      <c r="D741" s="2" t="s">
        <v>52</v>
      </c>
      <c r="E741" s="2" t="s">
        <v>76</v>
      </c>
      <c r="F741" s="2">
        <v>2</v>
      </c>
      <c r="G741" s="15">
        <v>704.91</v>
      </c>
      <c r="H741" s="15">
        <v>1409.82</v>
      </c>
      <c r="I741" s="2">
        <v>10</v>
      </c>
      <c r="J741" s="15">
        <v>1268.8399999999999</v>
      </c>
    </row>
    <row r="742" spans="1:10" x14ac:dyDescent="0.3">
      <c r="A742" s="2" t="s">
        <v>773</v>
      </c>
      <c r="B742" s="3">
        <v>46073</v>
      </c>
      <c r="C742" s="2" t="s">
        <v>22</v>
      </c>
      <c r="D742" s="2" t="s">
        <v>23</v>
      </c>
      <c r="E742" s="2" t="s">
        <v>24</v>
      </c>
      <c r="F742" s="2">
        <v>12</v>
      </c>
      <c r="G742" s="15">
        <v>593.22</v>
      </c>
      <c r="H742" s="15">
        <v>7118.64</v>
      </c>
      <c r="I742" s="2">
        <v>15</v>
      </c>
      <c r="J742" s="15">
        <v>6050.84</v>
      </c>
    </row>
    <row r="743" spans="1:10" x14ac:dyDescent="0.3">
      <c r="A743" s="2" t="s">
        <v>774</v>
      </c>
      <c r="B743" s="3">
        <v>46011</v>
      </c>
      <c r="C743" s="2" t="s">
        <v>22</v>
      </c>
      <c r="D743" s="2" t="s">
        <v>44</v>
      </c>
      <c r="E743" s="2" t="s">
        <v>87</v>
      </c>
      <c r="F743" s="2">
        <v>10</v>
      </c>
      <c r="G743" s="15">
        <v>166.29</v>
      </c>
      <c r="H743" s="15">
        <v>1662.9</v>
      </c>
      <c r="I743" s="2">
        <v>0</v>
      </c>
      <c r="J743" s="15">
        <v>1662.9</v>
      </c>
    </row>
    <row r="744" spans="1:10" x14ac:dyDescent="0.3">
      <c r="A744" s="2" t="s">
        <v>775</v>
      </c>
      <c r="B744" s="3">
        <v>45957</v>
      </c>
      <c r="C744" s="2" t="s">
        <v>22</v>
      </c>
      <c r="D744" s="2" t="s">
        <v>19</v>
      </c>
      <c r="E744" s="2" t="s">
        <v>30</v>
      </c>
      <c r="F744" s="2">
        <v>18</v>
      </c>
      <c r="G744" s="15">
        <v>191.65</v>
      </c>
      <c r="H744" s="15">
        <v>3449.7</v>
      </c>
      <c r="I744" s="2">
        <v>5</v>
      </c>
      <c r="J744" s="15">
        <v>3277.21</v>
      </c>
    </row>
    <row r="745" spans="1:10" x14ac:dyDescent="0.3">
      <c r="A745" s="2" t="s">
        <v>776</v>
      </c>
      <c r="B745" s="3">
        <v>45825</v>
      </c>
      <c r="C745" s="2" t="s">
        <v>22</v>
      </c>
      <c r="D745" s="2" t="s">
        <v>29</v>
      </c>
      <c r="E745" s="2" t="s">
        <v>33</v>
      </c>
      <c r="F745" s="2">
        <v>11</v>
      </c>
      <c r="G745" s="15">
        <v>178.13</v>
      </c>
      <c r="H745" s="15">
        <v>1959.43</v>
      </c>
      <c r="I745" s="2">
        <v>5</v>
      </c>
      <c r="J745" s="15">
        <v>1861.46</v>
      </c>
    </row>
    <row r="746" spans="1:10" x14ac:dyDescent="0.3">
      <c r="A746" s="2" t="s">
        <v>777</v>
      </c>
      <c r="B746" s="3">
        <v>45921</v>
      </c>
      <c r="C746" s="2" t="s">
        <v>15</v>
      </c>
      <c r="D746" s="2" t="s">
        <v>29</v>
      </c>
      <c r="E746" s="2" t="s">
        <v>20</v>
      </c>
      <c r="F746" s="2">
        <v>19</v>
      </c>
      <c r="G746" s="15">
        <v>87.2</v>
      </c>
      <c r="H746" s="15">
        <v>1656.8</v>
      </c>
      <c r="I746" s="2">
        <v>5</v>
      </c>
      <c r="J746" s="15">
        <v>1573.96</v>
      </c>
    </row>
    <row r="747" spans="1:10" x14ac:dyDescent="0.3">
      <c r="A747" s="2" t="s">
        <v>778</v>
      </c>
      <c r="B747" s="3">
        <v>45863</v>
      </c>
      <c r="C747" s="2" t="s">
        <v>18</v>
      </c>
      <c r="D747" s="2" t="s">
        <v>29</v>
      </c>
      <c r="E747" s="2" t="s">
        <v>24</v>
      </c>
      <c r="F747" s="2">
        <v>14</v>
      </c>
      <c r="G747" s="15">
        <v>265.7</v>
      </c>
      <c r="H747" s="15">
        <v>3719.8</v>
      </c>
      <c r="I747" s="2">
        <v>10</v>
      </c>
      <c r="J747" s="15">
        <v>3347.82</v>
      </c>
    </row>
    <row r="748" spans="1:10" x14ac:dyDescent="0.3">
      <c r="A748" s="2" t="s">
        <v>779</v>
      </c>
      <c r="B748" s="3">
        <v>45941</v>
      </c>
      <c r="C748" s="2" t="s">
        <v>18</v>
      </c>
      <c r="D748" s="2" t="s">
        <v>29</v>
      </c>
      <c r="E748" s="2" t="s">
        <v>87</v>
      </c>
      <c r="F748" s="2">
        <v>16</v>
      </c>
      <c r="G748" s="15">
        <v>742.78</v>
      </c>
      <c r="H748" s="15">
        <v>11884.48</v>
      </c>
      <c r="I748" s="2">
        <v>15</v>
      </c>
      <c r="J748" s="15">
        <v>10101.81</v>
      </c>
    </row>
    <row r="749" spans="1:10" x14ac:dyDescent="0.3">
      <c r="A749" s="2" t="s">
        <v>780</v>
      </c>
      <c r="B749" s="3">
        <v>45871</v>
      </c>
      <c r="C749" s="2" t="s">
        <v>11</v>
      </c>
      <c r="D749" s="2" t="s">
        <v>29</v>
      </c>
      <c r="E749" s="2" t="s">
        <v>20</v>
      </c>
      <c r="F749" s="2">
        <v>18</v>
      </c>
      <c r="G749" s="15">
        <v>175.06</v>
      </c>
      <c r="H749" s="15">
        <v>3151.08</v>
      </c>
      <c r="I749" s="2">
        <v>10</v>
      </c>
      <c r="J749" s="15">
        <v>2835.97</v>
      </c>
    </row>
    <row r="750" spans="1:10" x14ac:dyDescent="0.3">
      <c r="A750" s="2" t="s">
        <v>781</v>
      </c>
      <c r="B750" s="3">
        <v>46025</v>
      </c>
      <c r="C750" s="2" t="s">
        <v>22</v>
      </c>
      <c r="D750" s="2" t="s">
        <v>44</v>
      </c>
      <c r="E750" s="2" t="s">
        <v>76</v>
      </c>
      <c r="F750" s="2">
        <v>3</v>
      </c>
      <c r="G750" s="15">
        <v>619.55999999999995</v>
      </c>
      <c r="H750" s="15">
        <v>1858.68</v>
      </c>
      <c r="I750" s="2">
        <v>15</v>
      </c>
      <c r="J750" s="15">
        <v>1579.88</v>
      </c>
    </row>
    <row r="751" spans="1:10" x14ac:dyDescent="0.3">
      <c r="A751" s="2" t="s">
        <v>782</v>
      </c>
      <c r="B751" s="3">
        <v>46097</v>
      </c>
      <c r="C751" s="2" t="s">
        <v>22</v>
      </c>
      <c r="D751" s="2" t="s">
        <v>52</v>
      </c>
      <c r="E751" s="2" t="s">
        <v>27</v>
      </c>
      <c r="F751" s="2">
        <v>4</v>
      </c>
      <c r="G751" s="15">
        <v>929.7</v>
      </c>
      <c r="H751" s="15">
        <v>3718.8</v>
      </c>
      <c r="I751" s="2">
        <v>0</v>
      </c>
      <c r="J751" s="15">
        <v>3718.8</v>
      </c>
    </row>
    <row r="752" spans="1:10" x14ac:dyDescent="0.3">
      <c r="A752" s="2" t="s">
        <v>783</v>
      </c>
      <c r="B752" s="3">
        <v>46157</v>
      </c>
      <c r="C752" s="2" t="s">
        <v>15</v>
      </c>
      <c r="D752" s="2" t="s">
        <v>29</v>
      </c>
      <c r="E752" s="2" t="s">
        <v>30</v>
      </c>
      <c r="F752" s="2">
        <v>18</v>
      </c>
      <c r="G752" s="15">
        <v>227.5</v>
      </c>
      <c r="H752" s="15">
        <v>4095</v>
      </c>
      <c r="I752" s="2">
        <v>0</v>
      </c>
      <c r="J752" s="15">
        <v>4095</v>
      </c>
    </row>
    <row r="753" spans="1:10" x14ac:dyDescent="0.3">
      <c r="A753" s="2" t="s">
        <v>784</v>
      </c>
      <c r="B753" s="3">
        <v>46137</v>
      </c>
      <c r="C753" s="2" t="s">
        <v>15</v>
      </c>
      <c r="D753" s="2" t="s">
        <v>52</v>
      </c>
      <c r="E753" s="2" t="s">
        <v>30</v>
      </c>
      <c r="F753" s="2">
        <v>2</v>
      </c>
      <c r="G753" s="15">
        <v>535.15</v>
      </c>
      <c r="H753" s="15">
        <v>1070.3</v>
      </c>
      <c r="I753" s="2">
        <v>15</v>
      </c>
      <c r="J753" s="15">
        <v>909.75</v>
      </c>
    </row>
    <row r="754" spans="1:10" x14ac:dyDescent="0.3">
      <c r="A754" s="2" t="s">
        <v>785</v>
      </c>
      <c r="B754" s="3">
        <v>45820</v>
      </c>
      <c r="C754" s="2" t="s">
        <v>15</v>
      </c>
      <c r="D754" s="2" t="s">
        <v>60</v>
      </c>
      <c r="E754" s="2" t="s">
        <v>39</v>
      </c>
      <c r="F754" s="2">
        <v>15</v>
      </c>
      <c r="G754" s="15">
        <v>243.33</v>
      </c>
      <c r="H754" s="15">
        <v>3649.95</v>
      </c>
      <c r="I754" s="2">
        <v>10</v>
      </c>
      <c r="J754" s="15">
        <v>3284.95</v>
      </c>
    </row>
    <row r="755" spans="1:10" x14ac:dyDescent="0.3">
      <c r="A755" s="2" t="s">
        <v>786</v>
      </c>
      <c r="B755" s="3">
        <v>45932</v>
      </c>
      <c r="C755" s="2" t="s">
        <v>11</v>
      </c>
      <c r="D755" s="2" t="s">
        <v>26</v>
      </c>
      <c r="E755" s="2" t="s">
        <v>39</v>
      </c>
      <c r="F755" s="2">
        <v>10</v>
      </c>
      <c r="G755" s="15">
        <v>272.26</v>
      </c>
      <c r="H755" s="15">
        <v>2722.6</v>
      </c>
      <c r="I755" s="2">
        <v>5</v>
      </c>
      <c r="J755" s="15">
        <v>2586.4699999999998</v>
      </c>
    </row>
    <row r="756" spans="1:10" x14ac:dyDescent="0.3">
      <c r="A756" s="2" t="s">
        <v>787</v>
      </c>
      <c r="B756" s="3">
        <v>46033</v>
      </c>
      <c r="C756" s="2" t="s">
        <v>11</v>
      </c>
      <c r="D756" s="2" t="s">
        <v>32</v>
      </c>
      <c r="E756" s="2" t="s">
        <v>24</v>
      </c>
      <c r="F756" s="2">
        <v>12</v>
      </c>
      <c r="G756" s="15">
        <v>238.44</v>
      </c>
      <c r="H756" s="15">
        <v>2861.28</v>
      </c>
      <c r="I756" s="2">
        <v>5</v>
      </c>
      <c r="J756" s="15">
        <v>2718.22</v>
      </c>
    </row>
    <row r="757" spans="1:10" x14ac:dyDescent="0.3">
      <c r="A757" s="2" t="s">
        <v>788</v>
      </c>
      <c r="B757" s="3">
        <v>45835</v>
      </c>
      <c r="C757" s="2" t="s">
        <v>22</v>
      </c>
      <c r="D757" s="2" t="s">
        <v>29</v>
      </c>
      <c r="E757" s="2" t="s">
        <v>24</v>
      </c>
      <c r="F757" s="2">
        <v>10</v>
      </c>
      <c r="G757" s="15">
        <v>114.57</v>
      </c>
      <c r="H757" s="15">
        <v>1145.7</v>
      </c>
      <c r="I757" s="2">
        <v>0</v>
      </c>
      <c r="J757" s="15">
        <v>1145.7</v>
      </c>
    </row>
    <row r="758" spans="1:10" x14ac:dyDescent="0.3">
      <c r="A758" s="2" t="s">
        <v>789</v>
      </c>
      <c r="B758" s="3">
        <v>45918</v>
      </c>
      <c r="C758" s="2" t="s">
        <v>11</v>
      </c>
      <c r="D758" s="2" t="s">
        <v>44</v>
      </c>
      <c r="E758" s="2" t="s">
        <v>20</v>
      </c>
      <c r="F758" s="2">
        <v>6</v>
      </c>
      <c r="G758" s="15">
        <v>992.14</v>
      </c>
      <c r="H758" s="15">
        <v>5952.84</v>
      </c>
      <c r="I758" s="2">
        <v>20</v>
      </c>
      <c r="J758" s="15">
        <v>4762.2700000000004</v>
      </c>
    </row>
    <row r="759" spans="1:10" x14ac:dyDescent="0.3">
      <c r="A759" s="2" t="s">
        <v>790</v>
      </c>
      <c r="B759" s="3">
        <v>45921</v>
      </c>
      <c r="C759" s="2" t="s">
        <v>18</v>
      </c>
      <c r="D759" s="2" t="s">
        <v>60</v>
      </c>
      <c r="E759" s="2" t="s">
        <v>37</v>
      </c>
      <c r="F759" s="2">
        <v>16</v>
      </c>
      <c r="G759" s="15">
        <v>284.08</v>
      </c>
      <c r="H759" s="15">
        <v>4545.28</v>
      </c>
      <c r="I759" s="2">
        <v>20</v>
      </c>
      <c r="J759" s="15">
        <v>3636.22</v>
      </c>
    </row>
    <row r="760" spans="1:10" x14ac:dyDescent="0.3">
      <c r="A760" s="2" t="s">
        <v>791</v>
      </c>
      <c r="B760" s="3">
        <v>45917</v>
      </c>
      <c r="C760" s="2" t="s">
        <v>11</v>
      </c>
      <c r="D760" s="2" t="s">
        <v>26</v>
      </c>
      <c r="E760" s="2" t="s">
        <v>30</v>
      </c>
      <c r="F760" s="2">
        <v>9</v>
      </c>
      <c r="G760" s="15">
        <v>572.62</v>
      </c>
      <c r="H760" s="15">
        <v>5153.58</v>
      </c>
      <c r="I760" s="2">
        <v>0</v>
      </c>
      <c r="J760" s="15">
        <v>5153.58</v>
      </c>
    </row>
    <row r="761" spans="1:10" x14ac:dyDescent="0.3">
      <c r="A761" s="2" t="s">
        <v>792</v>
      </c>
      <c r="B761" s="3">
        <v>45992</v>
      </c>
      <c r="C761" s="2" t="s">
        <v>18</v>
      </c>
      <c r="D761" s="2" t="s">
        <v>44</v>
      </c>
      <c r="E761" s="2" t="s">
        <v>27</v>
      </c>
      <c r="F761" s="2">
        <v>8</v>
      </c>
      <c r="G761" s="15">
        <v>903.51</v>
      </c>
      <c r="H761" s="15">
        <v>7228.08</v>
      </c>
      <c r="I761" s="2">
        <v>15</v>
      </c>
      <c r="J761" s="15">
        <v>6143.87</v>
      </c>
    </row>
    <row r="762" spans="1:10" x14ac:dyDescent="0.3">
      <c r="A762" s="2" t="s">
        <v>793</v>
      </c>
      <c r="B762" s="3">
        <v>46137</v>
      </c>
      <c r="C762" s="2" t="s">
        <v>11</v>
      </c>
      <c r="D762" s="2" t="s">
        <v>23</v>
      </c>
      <c r="E762" s="2" t="s">
        <v>20</v>
      </c>
      <c r="F762" s="2">
        <v>1</v>
      </c>
      <c r="G762" s="15">
        <v>966.29</v>
      </c>
      <c r="H762" s="15">
        <v>966.29</v>
      </c>
      <c r="I762" s="2">
        <v>10</v>
      </c>
      <c r="J762" s="15">
        <v>869.66</v>
      </c>
    </row>
    <row r="763" spans="1:10" x14ac:dyDescent="0.3">
      <c r="A763" s="2" t="s">
        <v>794</v>
      </c>
      <c r="B763" s="3">
        <v>46106</v>
      </c>
      <c r="C763" s="2" t="s">
        <v>18</v>
      </c>
      <c r="D763" s="2" t="s">
        <v>44</v>
      </c>
      <c r="E763" s="2" t="s">
        <v>87</v>
      </c>
      <c r="F763" s="2">
        <v>6</v>
      </c>
      <c r="G763" s="15">
        <v>992.18</v>
      </c>
      <c r="H763" s="15">
        <v>5953.08</v>
      </c>
      <c r="I763" s="2">
        <v>5</v>
      </c>
      <c r="J763" s="15">
        <v>5655.43</v>
      </c>
    </row>
    <row r="764" spans="1:10" x14ac:dyDescent="0.3">
      <c r="A764" s="2" t="s">
        <v>795</v>
      </c>
      <c r="B764" s="3">
        <v>45854</v>
      </c>
      <c r="C764" s="2" t="s">
        <v>18</v>
      </c>
      <c r="D764" s="2" t="s">
        <v>60</v>
      </c>
      <c r="E764" s="2" t="s">
        <v>76</v>
      </c>
      <c r="F764" s="2">
        <v>10</v>
      </c>
      <c r="G764" s="15">
        <v>402.21</v>
      </c>
      <c r="H764" s="15">
        <v>4022.1</v>
      </c>
      <c r="I764" s="2">
        <v>15</v>
      </c>
      <c r="J764" s="15">
        <v>3418.78</v>
      </c>
    </row>
    <row r="765" spans="1:10" x14ac:dyDescent="0.3">
      <c r="A765" s="2" t="s">
        <v>796</v>
      </c>
      <c r="B765" s="3">
        <v>45998</v>
      </c>
      <c r="C765" s="2" t="s">
        <v>15</v>
      </c>
      <c r="D765" s="2" t="s">
        <v>52</v>
      </c>
      <c r="E765" s="2" t="s">
        <v>33</v>
      </c>
      <c r="F765" s="2">
        <v>10</v>
      </c>
      <c r="G765" s="15">
        <v>563.44000000000005</v>
      </c>
      <c r="H765" s="15">
        <v>5634.4</v>
      </c>
      <c r="I765" s="2">
        <v>0</v>
      </c>
      <c r="J765" s="15">
        <v>5634.4</v>
      </c>
    </row>
    <row r="766" spans="1:10" x14ac:dyDescent="0.3">
      <c r="A766" s="2" t="s">
        <v>797</v>
      </c>
      <c r="B766" s="3">
        <v>45869</v>
      </c>
      <c r="C766" s="2" t="s">
        <v>22</v>
      </c>
      <c r="D766" s="2" t="s">
        <v>29</v>
      </c>
      <c r="E766" s="2" t="s">
        <v>76</v>
      </c>
      <c r="F766" s="2">
        <v>2</v>
      </c>
      <c r="G766" s="15">
        <v>879.93</v>
      </c>
      <c r="H766" s="15">
        <v>1759.86</v>
      </c>
      <c r="I766" s="2">
        <v>0</v>
      </c>
      <c r="J766" s="15">
        <v>1759.86</v>
      </c>
    </row>
    <row r="767" spans="1:10" x14ac:dyDescent="0.3">
      <c r="A767" s="2" t="s">
        <v>798</v>
      </c>
      <c r="B767" s="3">
        <v>46128</v>
      </c>
      <c r="C767" s="2" t="s">
        <v>18</v>
      </c>
      <c r="D767" s="2" t="s">
        <v>60</v>
      </c>
      <c r="E767" s="2" t="s">
        <v>13</v>
      </c>
      <c r="F767" s="2">
        <v>15</v>
      </c>
      <c r="G767" s="15">
        <v>953.9</v>
      </c>
      <c r="H767" s="15">
        <v>14308.5</v>
      </c>
      <c r="I767" s="2">
        <v>5</v>
      </c>
      <c r="J767" s="15">
        <v>13593.08</v>
      </c>
    </row>
    <row r="768" spans="1:10" x14ac:dyDescent="0.3">
      <c r="A768" s="2" t="s">
        <v>799</v>
      </c>
      <c r="B768" s="3">
        <v>45802</v>
      </c>
      <c r="C768" s="2" t="s">
        <v>15</v>
      </c>
      <c r="D768" s="2" t="s">
        <v>16</v>
      </c>
      <c r="E768" s="2" t="s">
        <v>27</v>
      </c>
      <c r="F768" s="2">
        <v>1</v>
      </c>
      <c r="G768" s="15">
        <v>205.45</v>
      </c>
      <c r="H768" s="15">
        <v>205.45</v>
      </c>
      <c r="I768" s="2">
        <v>20</v>
      </c>
      <c r="J768" s="15">
        <v>164.36</v>
      </c>
    </row>
    <row r="769" spans="1:10" x14ac:dyDescent="0.3">
      <c r="A769" s="2" t="s">
        <v>800</v>
      </c>
      <c r="B769" s="3">
        <v>45880</v>
      </c>
      <c r="C769" s="2" t="s">
        <v>15</v>
      </c>
      <c r="D769" s="2" t="s">
        <v>60</v>
      </c>
      <c r="E769" s="2" t="s">
        <v>87</v>
      </c>
      <c r="F769" s="2">
        <v>5</v>
      </c>
      <c r="G769" s="15">
        <v>124.74</v>
      </c>
      <c r="H769" s="15">
        <v>623.70000000000005</v>
      </c>
      <c r="I769" s="2">
        <v>0</v>
      </c>
      <c r="J769" s="15">
        <v>623.70000000000005</v>
      </c>
    </row>
    <row r="770" spans="1:10" x14ac:dyDescent="0.3">
      <c r="A770" s="2" t="s">
        <v>801</v>
      </c>
      <c r="B770" s="3">
        <v>45920</v>
      </c>
      <c r="C770" s="2" t="s">
        <v>22</v>
      </c>
      <c r="D770" s="2" t="s">
        <v>19</v>
      </c>
      <c r="E770" s="2" t="s">
        <v>20</v>
      </c>
      <c r="F770" s="2">
        <v>8</v>
      </c>
      <c r="G770" s="15">
        <v>576.11</v>
      </c>
      <c r="H770" s="15">
        <v>4608.88</v>
      </c>
      <c r="I770" s="2">
        <v>20</v>
      </c>
      <c r="J770" s="15">
        <v>3687.1</v>
      </c>
    </row>
    <row r="771" spans="1:10" x14ac:dyDescent="0.3">
      <c r="A771" s="2" t="s">
        <v>802</v>
      </c>
      <c r="B771" s="3">
        <v>45989</v>
      </c>
      <c r="C771" s="2" t="s">
        <v>15</v>
      </c>
      <c r="D771" s="2" t="s">
        <v>60</v>
      </c>
      <c r="E771" s="2" t="s">
        <v>87</v>
      </c>
      <c r="F771" s="2">
        <v>13</v>
      </c>
      <c r="G771" s="15">
        <v>780.24</v>
      </c>
      <c r="H771" s="15">
        <v>10143.120000000001</v>
      </c>
      <c r="I771" s="2">
        <v>20</v>
      </c>
      <c r="J771" s="15">
        <v>8114.5</v>
      </c>
    </row>
    <row r="772" spans="1:10" x14ac:dyDescent="0.3">
      <c r="A772" s="2" t="s">
        <v>803</v>
      </c>
      <c r="B772" s="3">
        <v>46078</v>
      </c>
      <c r="C772" s="2" t="s">
        <v>15</v>
      </c>
      <c r="D772" s="2" t="s">
        <v>52</v>
      </c>
      <c r="E772" s="2" t="s">
        <v>39</v>
      </c>
      <c r="F772" s="2">
        <v>2</v>
      </c>
      <c r="G772" s="15">
        <v>158.47</v>
      </c>
      <c r="H772" s="15">
        <v>316.94</v>
      </c>
      <c r="I772" s="2">
        <v>5</v>
      </c>
      <c r="J772" s="15">
        <v>301.08999999999997</v>
      </c>
    </row>
    <row r="773" spans="1:10" x14ac:dyDescent="0.3">
      <c r="A773" s="2" t="s">
        <v>804</v>
      </c>
      <c r="B773" s="3">
        <v>45994</v>
      </c>
      <c r="C773" s="2" t="s">
        <v>15</v>
      </c>
      <c r="D773" s="2" t="s">
        <v>29</v>
      </c>
      <c r="E773" s="2" t="s">
        <v>30</v>
      </c>
      <c r="F773" s="2">
        <v>11</v>
      </c>
      <c r="G773" s="15">
        <v>103.76</v>
      </c>
      <c r="H773" s="15">
        <v>1141.3599999999999</v>
      </c>
      <c r="I773" s="2">
        <v>15</v>
      </c>
      <c r="J773" s="15">
        <v>970.16</v>
      </c>
    </row>
    <row r="774" spans="1:10" x14ac:dyDescent="0.3">
      <c r="A774" s="2" t="s">
        <v>805</v>
      </c>
      <c r="B774" s="3">
        <v>45942</v>
      </c>
      <c r="C774" s="2" t="s">
        <v>22</v>
      </c>
      <c r="D774" s="2" t="s">
        <v>23</v>
      </c>
      <c r="E774" s="2" t="s">
        <v>30</v>
      </c>
      <c r="F774" s="2">
        <v>4</v>
      </c>
      <c r="G774" s="15">
        <v>796.02</v>
      </c>
      <c r="H774" s="15">
        <v>3184.08</v>
      </c>
      <c r="I774" s="2">
        <v>5</v>
      </c>
      <c r="J774" s="15">
        <v>3024.88</v>
      </c>
    </row>
    <row r="775" spans="1:10" x14ac:dyDescent="0.3">
      <c r="A775" s="2" t="s">
        <v>806</v>
      </c>
      <c r="B775" s="3">
        <v>46051</v>
      </c>
      <c r="C775" s="2" t="s">
        <v>18</v>
      </c>
      <c r="D775" s="2" t="s">
        <v>12</v>
      </c>
      <c r="E775" s="2" t="s">
        <v>33</v>
      </c>
      <c r="F775" s="2">
        <v>2</v>
      </c>
      <c r="G775" s="15">
        <v>82.44</v>
      </c>
      <c r="H775" s="15">
        <v>164.88</v>
      </c>
      <c r="I775" s="2">
        <v>10</v>
      </c>
      <c r="J775" s="15">
        <v>148.38999999999999</v>
      </c>
    </row>
    <row r="776" spans="1:10" x14ac:dyDescent="0.3">
      <c r="A776" s="2" t="s">
        <v>807</v>
      </c>
      <c r="B776" s="3">
        <v>46052</v>
      </c>
      <c r="C776" s="2" t="s">
        <v>22</v>
      </c>
      <c r="D776" s="2" t="s">
        <v>44</v>
      </c>
      <c r="E776" s="2" t="s">
        <v>24</v>
      </c>
      <c r="F776" s="2">
        <v>3</v>
      </c>
      <c r="G776" s="15">
        <v>233.73</v>
      </c>
      <c r="H776" s="15">
        <v>701.19</v>
      </c>
      <c r="I776" s="2">
        <v>20</v>
      </c>
      <c r="J776" s="15">
        <v>560.95000000000005</v>
      </c>
    </row>
    <row r="777" spans="1:10" x14ac:dyDescent="0.3">
      <c r="A777" s="2" t="s">
        <v>808</v>
      </c>
      <c r="B777" s="3">
        <v>45896</v>
      </c>
      <c r="C777" s="2" t="s">
        <v>18</v>
      </c>
      <c r="D777" s="2" t="s">
        <v>44</v>
      </c>
      <c r="E777" s="2" t="s">
        <v>37</v>
      </c>
      <c r="F777" s="2">
        <v>9</v>
      </c>
      <c r="G777" s="15">
        <v>213.92</v>
      </c>
      <c r="H777" s="15">
        <v>1925.28</v>
      </c>
      <c r="I777" s="2">
        <v>5</v>
      </c>
      <c r="J777" s="15">
        <v>1829.02</v>
      </c>
    </row>
    <row r="778" spans="1:10" x14ac:dyDescent="0.3">
      <c r="A778" s="2" t="s">
        <v>809</v>
      </c>
      <c r="B778" s="3">
        <v>46115</v>
      </c>
      <c r="C778" s="2" t="s">
        <v>15</v>
      </c>
      <c r="D778" s="2" t="s">
        <v>16</v>
      </c>
      <c r="E778" s="2" t="s">
        <v>30</v>
      </c>
      <c r="F778" s="2">
        <v>18</v>
      </c>
      <c r="G778" s="15">
        <v>831.82</v>
      </c>
      <c r="H778" s="15">
        <v>14972.76</v>
      </c>
      <c r="I778" s="2">
        <v>15</v>
      </c>
      <c r="J778" s="15">
        <v>12726.85</v>
      </c>
    </row>
    <row r="779" spans="1:10" x14ac:dyDescent="0.3">
      <c r="A779" s="2" t="s">
        <v>810</v>
      </c>
      <c r="B779" s="3">
        <v>46117</v>
      </c>
      <c r="C779" s="2" t="s">
        <v>15</v>
      </c>
      <c r="D779" s="2" t="s">
        <v>23</v>
      </c>
      <c r="E779" s="2" t="s">
        <v>20</v>
      </c>
      <c r="F779" s="2">
        <v>12</v>
      </c>
      <c r="G779" s="15">
        <v>879.68</v>
      </c>
      <c r="H779" s="15">
        <v>10556.16</v>
      </c>
      <c r="I779" s="2">
        <v>15</v>
      </c>
      <c r="J779" s="15">
        <v>8972.74</v>
      </c>
    </row>
    <row r="780" spans="1:10" x14ac:dyDescent="0.3">
      <c r="A780" s="2" t="s">
        <v>811</v>
      </c>
      <c r="B780" s="3">
        <v>45955</v>
      </c>
      <c r="C780" s="2" t="s">
        <v>11</v>
      </c>
      <c r="D780" s="2" t="s">
        <v>26</v>
      </c>
      <c r="E780" s="2" t="s">
        <v>24</v>
      </c>
      <c r="F780" s="2">
        <v>18</v>
      </c>
      <c r="G780" s="15">
        <v>552.99</v>
      </c>
      <c r="H780" s="15">
        <v>9953.82</v>
      </c>
      <c r="I780" s="2">
        <v>15</v>
      </c>
      <c r="J780" s="15">
        <v>8460.75</v>
      </c>
    </row>
    <row r="781" spans="1:10" x14ac:dyDescent="0.3">
      <c r="A781" s="2" t="s">
        <v>812</v>
      </c>
      <c r="B781" s="3">
        <v>46090</v>
      </c>
      <c r="C781" s="2" t="s">
        <v>15</v>
      </c>
      <c r="D781" s="2" t="s">
        <v>44</v>
      </c>
      <c r="E781" s="2" t="s">
        <v>24</v>
      </c>
      <c r="F781" s="2">
        <v>1</v>
      </c>
      <c r="G781" s="15">
        <v>360.6</v>
      </c>
      <c r="H781" s="15">
        <v>360.6</v>
      </c>
      <c r="I781" s="2">
        <v>20</v>
      </c>
      <c r="J781" s="15">
        <v>288.48</v>
      </c>
    </row>
    <row r="782" spans="1:10" x14ac:dyDescent="0.3">
      <c r="A782" s="2" t="s">
        <v>813</v>
      </c>
      <c r="B782" s="3">
        <v>45919</v>
      </c>
      <c r="C782" s="2" t="s">
        <v>18</v>
      </c>
      <c r="D782" s="2" t="s">
        <v>12</v>
      </c>
      <c r="E782" s="2" t="s">
        <v>13</v>
      </c>
      <c r="F782" s="2">
        <v>15</v>
      </c>
      <c r="G782" s="15">
        <v>528.04</v>
      </c>
      <c r="H782" s="15">
        <v>7920.6</v>
      </c>
      <c r="I782" s="2">
        <v>5</v>
      </c>
      <c r="J782" s="15">
        <v>7524.57</v>
      </c>
    </row>
    <row r="783" spans="1:10" x14ac:dyDescent="0.3">
      <c r="A783" s="2" t="s">
        <v>814</v>
      </c>
      <c r="B783" s="3">
        <v>46136</v>
      </c>
      <c r="C783" s="2" t="s">
        <v>15</v>
      </c>
      <c r="D783" s="2" t="s">
        <v>52</v>
      </c>
      <c r="E783" s="2" t="s">
        <v>13</v>
      </c>
      <c r="F783" s="2">
        <v>20</v>
      </c>
      <c r="G783" s="15">
        <v>75.510000000000005</v>
      </c>
      <c r="H783" s="15">
        <v>1510.2</v>
      </c>
      <c r="I783" s="2">
        <v>15</v>
      </c>
      <c r="J783" s="15">
        <v>1283.67</v>
      </c>
    </row>
    <row r="784" spans="1:10" x14ac:dyDescent="0.3">
      <c r="A784" s="2" t="s">
        <v>815</v>
      </c>
      <c r="B784" s="3">
        <v>45878</v>
      </c>
      <c r="C784" s="2" t="s">
        <v>15</v>
      </c>
      <c r="D784" s="2" t="s">
        <v>52</v>
      </c>
      <c r="E784" s="2" t="s">
        <v>30</v>
      </c>
      <c r="F784" s="2">
        <v>19</v>
      </c>
      <c r="G784" s="15">
        <v>797.88</v>
      </c>
      <c r="H784" s="15">
        <v>15159.72</v>
      </c>
      <c r="I784" s="2">
        <v>0</v>
      </c>
      <c r="J784" s="15">
        <v>15159.72</v>
      </c>
    </row>
    <row r="785" spans="1:10" x14ac:dyDescent="0.3">
      <c r="A785" s="2" t="s">
        <v>816</v>
      </c>
      <c r="B785" s="3">
        <v>45996</v>
      </c>
      <c r="C785" s="2" t="s">
        <v>22</v>
      </c>
      <c r="D785" s="2" t="s">
        <v>32</v>
      </c>
      <c r="E785" s="2" t="s">
        <v>39</v>
      </c>
      <c r="F785" s="2">
        <v>14</v>
      </c>
      <c r="G785" s="15">
        <v>566.41999999999996</v>
      </c>
      <c r="H785" s="15">
        <v>7929.88</v>
      </c>
      <c r="I785" s="2">
        <v>20</v>
      </c>
      <c r="J785" s="15">
        <v>6343.9</v>
      </c>
    </row>
    <row r="786" spans="1:10" x14ac:dyDescent="0.3">
      <c r="A786" s="2" t="s">
        <v>817</v>
      </c>
      <c r="B786" s="3">
        <v>46064</v>
      </c>
      <c r="C786" s="2" t="s">
        <v>15</v>
      </c>
      <c r="D786" s="2" t="s">
        <v>52</v>
      </c>
      <c r="E786" s="2" t="s">
        <v>87</v>
      </c>
      <c r="F786" s="2">
        <v>14</v>
      </c>
      <c r="G786" s="15">
        <v>821.29</v>
      </c>
      <c r="H786" s="15">
        <v>11498.06</v>
      </c>
      <c r="I786" s="2">
        <v>20</v>
      </c>
      <c r="J786" s="15">
        <v>9198.4500000000007</v>
      </c>
    </row>
    <row r="787" spans="1:10" x14ac:dyDescent="0.3">
      <c r="A787" s="2" t="s">
        <v>818</v>
      </c>
      <c r="B787" s="3">
        <v>45997</v>
      </c>
      <c r="C787" s="2" t="s">
        <v>11</v>
      </c>
      <c r="D787" s="2" t="s">
        <v>16</v>
      </c>
      <c r="E787" s="2" t="s">
        <v>37</v>
      </c>
      <c r="F787" s="2">
        <v>11</v>
      </c>
      <c r="G787" s="15">
        <v>670.31</v>
      </c>
      <c r="H787" s="15">
        <v>7373.41</v>
      </c>
      <c r="I787" s="2">
        <v>20</v>
      </c>
      <c r="J787" s="15">
        <v>5898.73</v>
      </c>
    </row>
    <row r="788" spans="1:10" x14ac:dyDescent="0.3">
      <c r="A788" s="2" t="s">
        <v>819</v>
      </c>
      <c r="B788" s="3">
        <v>45979</v>
      </c>
      <c r="C788" s="2" t="s">
        <v>22</v>
      </c>
      <c r="D788" s="2" t="s">
        <v>52</v>
      </c>
      <c r="E788" s="2" t="s">
        <v>24</v>
      </c>
      <c r="F788" s="2">
        <v>19</v>
      </c>
      <c r="G788" s="15">
        <v>554.07000000000005</v>
      </c>
      <c r="H788" s="15">
        <v>10527.33</v>
      </c>
      <c r="I788" s="2">
        <v>0</v>
      </c>
      <c r="J788" s="15">
        <v>10527.33</v>
      </c>
    </row>
    <row r="789" spans="1:10" x14ac:dyDescent="0.3">
      <c r="A789" s="2" t="s">
        <v>820</v>
      </c>
      <c r="B789" s="3">
        <v>46002</v>
      </c>
      <c r="C789" s="2" t="s">
        <v>15</v>
      </c>
      <c r="D789" s="2" t="s">
        <v>16</v>
      </c>
      <c r="E789" s="2" t="s">
        <v>24</v>
      </c>
      <c r="F789" s="2">
        <v>11</v>
      </c>
      <c r="G789" s="15">
        <v>225.22</v>
      </c>
      <c r="H789" s="15">
        <v>2477.42</v>
      </c>
      <c r="I789" s="2">
        <v>20</v>
      </c>
      <c r="J789" s="15">
        <v>1981.94</v>
      </c>
    </row>
    <row r="790" spans="1:10" x14ac:dyDescent="0.3">
      <c r="A790" s="2" t="s">
        <v>821</v>
      </c>
      <c r="B790" s="3">
        <v>45921</v>
      </c>
      <c r="C790" s="2" t="s">
        <v>22</v>
      </c>
      <c r="D790" s="2" t="s">
        <v>19</v>
      </c>
      <c r="E790" s="2" t="s">
        <v>27</v>
      </c>
      <c r="F790" s="2">
        <v>17</v>
      </c>
      <c r="G790" s="15">
        <v>906.66</v>
      </c>
      <c r="H790" s="15">
        <v>15413.22</v>
      </c>
      <c r="I790" s="2">
        <v>0</v>
      </c>
      <c r="J790" s="15">
        <v>15413.22</v>
      </c>
    </row>
    <row r="791" spans="1:10" x14ac:dyDescent="0.3">
      <c r="A791" s="2" t="s">
        <v>822</v>
      </c>
      <c r="B791" s="3">
        <v>45880</v>
      </c>
      <c r="C791" s="2" t="s">
        <v>15</v>
      </c>
      <c r="D791" s="2" t="s">
        <v>26</v>
      </c>
      <c r="E791" s="2" t="s">
        <v>87</v>
      </c>
      <c r="F791" s="2">
        <v>3</v>
      </c>
      <c r="G791" s="15">
        <v>759.23</v>
      </c>
      <c r="H791" s="15">
        <v>2277.69</v>
      </c>
      <c r="I791" s="2">
        <v>5</v>
      </c>
      <c r="J791" s="15">
        <v>2163.81</v>
      </c>
    </row>
    <row r="792" spans="1:10" x14ac:dyDescent="0.3">
      <c r="A792" s="2" t="s">
        <v>823</v>
      </c>
      <c r="B792" s="3">
        <v>45907</v>
      </c>
      <c r="C792" s="2" t="s">
        <v>18</v>
      </c>
      <c r="D792" s="2" t="s">
        <v>26</v>
      </c>
      <c r="E792" s="2" t="s">
        <v>33</v>
      </c>
      <c r="F792" s="2">
        <v>4</v>
      </c>
      <c r="G792" s="15">
        <v>946.27</v>
      </c>
      <c r="H792" s="15">
        <v>3785.08</v>
      </c>
      <c r="I792" s="2">
        <v>20</v>
      </c>
      <c r="J792" s="15">
        <v>3028.06</v>
      </c>
    </row>
    <row r="793" spans="1:10" x14ac:dyDescent="0.3">
      <c r="A793" s="2" t="s">
        <v>824</v>
      </c>
      <c r="B793" s="3">
        <v>46034</v>
      </c>
      <c r="C793" s="2" t="s">
        <v>11</v>
      </c>
      <c r="D793" s="2" t="s">
        <v>16</v>
      </c>
      <c r="E793" s="2" t="s">
        <v>39</v>
      </c>
      <c r="F793" s="2">
        <v>5</v>
      </c>
      <c r="G793" s="15">
        <v>648.87</v>
      </c>
      <c r="H793" s="15">
        <v>3244.35</v>
      </c>
      <c r="I793" s="2">
        <v>15</v>
      </c>
      <c r="J793" s="15">
        <v>2757.7</v>
      </c>
    </row>
    <row r="794" spans="1:10" x14ac:dyDescent="0.3">
      <c r="A794" s="2" t="s">
        <v>825</v>
      </c>
      <c r="B794" s="3">
        <v>46053</v>
      </c>
      <c r="C794" s="2" t="s">
        <v>22</v>
      </c>
      <c r="D794" s="2" t="s">
        <v>12</v>
      </c>
      <c r="E794" s="2" t="s">
        <v>24</v>
      </c>
      <c r="F794" s="2">
        <v>19</v>
      </c>
      <c r="G794" s="15">
        <v>739.4</v>
      </c>
      <c r="H794" s="15">
        <v>14048.6</v>
      </c>
      <c r="I794" s="2">
        <v>5</v>
      </c>
      <c r="J794" s="15">
        <v>13346.17</v>
      </c>
    </row>
    <row r="795" spans="1:10" x14ac:dyDescent="0.3">
      <c r="A795" s="2" t="s">
        <v>826</v>
      </c>
      <c r="B795" s="3">
        <v>45950</v>
      </c>
      <c r="C795" s="2" t="s">
        <v>15</v>
      </c>
      <c r="D795" s="2" t="s">
        <v>23</v>
      </c>
      <c r="E795" s="2" t="s">
        <v>13</v>
      </c>
      <c r="F795" s="2">
        <v>8</v>
      </c>
      <c r="G795" s="15">
        <v>282.3</v>
      </c>
      <c r="H795" s="15">
        <v>2258.4</v>
      </c>
      <c r="I795" s="2">
        <v>10</v>
      </c>
      <c r="J795" s="15">
        <v>2032.56</v>
      </c>
    </row>
    <row r="796" spans="1:10" x14ac:dyDescent="0.3">
      <c r="A796" s="2" t="s">
        <v>827</v>
      </c>
      <c r="B796" s="3">
        <v>45937</v>
      </c>
      <c r="C796" s="2" t="s">
        <v>15</v>
      </c>
      <c r="D796" s="2" t="s">
        <v>32</v>
      </c>
      <c r="E796" s="2" t="s">
        <v>87</v>
      </c>
      <c r="F796" s="2">
        <v>6</v>
      </c>
      <c r="G796" s="15">
        <v>294.55</v>
      </c>
      <c r="H796" s="15">
        <v>1767.3</v>
      </c>
      <c r="I796" s="2">
        <v>5</v>
      </c>
      <c r="J796" s="15">
        <v>1678.93</v>
      </c>
    </row>
    <row r="797" spans="1:10" x14ac:dyDescent="0.3">
      <c r="A797" s="2" t="s">
        <v>828</v>
      </c>
      <c r="B797" s="3">
        <v>45871</v>
      </c>
      <c r="C797" s="2" t="s">
        <v>22</v>
      </c>
      <c r="D797" s="2" t="s">
        <v>29</v>
      </c>
      <c r="E797" s="2" t="s">
        <v>30</v>
      </c>
      <c r="F797" s="2">
        <v>10</v>
      </c>
      <c r="G797" s="15">
        <v>933.66</v>
      </c>
      <c r="H797" s="15">
        <v>9336.6</v>
      </c>
      <c r="I797" s="2">
        <v>10</v>
      </c>
      <c r="J797" s="15">
        <v>8402.94</v>
      </c>
    </row>
    <row r="798" spans="1:10" x14ac:dyDescent="0.3">
      <c r="A798" s="2" t="s">
        <v>829</v>
      </c>
      <c r="B798" s="3">
        <v>46002</v>
      </c>
      <c r="C798" s="2" t="s">
        <v>22</v>
      </c>
      <c r="D798" s="2" t="s">
        <v>44</v>
      </c>
      <c r="E798" s="2" t="s">
        <v>87</v>
      </c>
      <c r="F798" s="2">
        <v>15</v>
      </c>
      <c r="G798" s="15">
        <v>523.12</v>
      </c>
      <c r="H798" s="15">
        <v>7846.8</v>
      </c>
      <c r="I798" s="2">
        <v>20</v>
      </c>
      <c r="J798" s="15">
        <v>6277.44</v>
      </c>
    </row>
    <row r="799" spans="1:10" x14ac:dyDescent="0.3">
      <c r="A799" s="2" t="s">
        <v>830</v>
      </c>
      <c r="B799" s="3">
        <v>46146</v>
      </c>
      <c r="C799" s="2" t="s">
        <v>11</v>
      </c>
      <c r="D799" s="2" t="s">
        <v>26</v>
      </c>
      <c r="E799" s="2" t="s">
        <v>39</v>
      </c>
      <c r="F799" s="2">
        <v>2</v>
      </c>
      <c r="G799" s="15">
        <v>115.35</v>
      </c>
      <c r="H799" s="15">
        <v>230.7</v>
      </c>
      <c r="I799" s="2">
        <v>10</v>
      </c>
      <c r="J799" s="15">
        <v>207.63</v>
      </c>
    </row>
    <row r="800" spans="1:10" x14ac:dyDescent="0.3">
      <c r="A800" s="2" t="s">
        <v>831</v>
      </c>
      <c r="B800" s="3">
        <v>45978</v>
      </c>
      <c r="C800" s="2" t="s">
        <v>22</v>
      </c>
      <c r="D800" s="2" t="s">
        <v>60</v>
      </c>
      <c r="E800" s="2" t="s">
        <v>24</v>
      </c>
      <c r="F800" s="2">
        <v>2</v>
      </c>
      <c r="G800" s="15">
        <v>774.31</v>
      </c>
      <c r="H800" s="15">
        <v>1548.62</v>
      </c>
      <c r="I800" s="2">
        <v>15</v>
      </c>
      <c r="J800" s="15">
        <v>1316.33</v>
      </c>
    </row>
    <row r="801" spans="1:10" x14ac:dyDescent="0.3">
      <c r="A801" s="2" t="s">
        <v>832</v>
      </c>
      <c r="B801" s="3">
        <v>45968</v>
      </c>
      <c r="C801" s="2" t="s">
        <v>18</v>
      </c>
      <c r="D801" s="2" t="s">
        <v>12</v>
      </c>
      <c r="E801" s="2" t="s">
        <v>76</v>
      </c>
      <c r="F801" s="2">
        <v>8</v>
      </c>
      <c r="G801" s="15">
        <v>766.43</v>
      </c>
      <c r="H801" s="15">
        <v>6131.44</v>
      </c>
      <c r="I801" s="2">
        <v>0</v>
      </c>
      <c r="J801" s="15">
        <v>6131.44</v>
      </c>
    </row>
    <row r="802" spans="1:10" x14ac:dyDescent="0.3">
      <c r="A802" s="2" t="s">
        <v>833</v>
      </c>
      <c r="B802" s="3">
        <v>45878</v>
      </c>
      <c r="C802" s="2" t="s">
        <v>18</v>
      </c>
      <c r="D802" s="2" t="s">
        <v>12</v>
      </c>
      <c r="E802" s="2" t="s">
        <v>76</v>
      </c>
      <c r="F802" s="2">
        <v>13</v>
      </c>
      <c r="G802" s="15">
        <v>615.84</v>
      </c>
      <c r="H802" s="15">
        <v>8005.92</v>
      </c>
      <c r="I802" s="2">
        <v>0</v>
      </c>
      <c r="J802" s="15">
        <v>8005.92</v>
      </c>
    </row>
    <row r="803" spans="1:10" x14ac:dyDescent="0.3">
      <c r="A803" s="2" t="s">
        <v>834</v>
      </c>
      <c r="B803" s="3">
        <v>45903</v>
      </c>
      <c r="C803" s="2" t="s">
        <v>15</v>
      </c>
      <c r="D803" s="2" t="s">
        <v>23</v>
      </c>
      <c r="E803" s="2" t="s">
        <v>24</v>
      </c>
      <c r="F803" s="2">
        <v>4</v>
      </c>
      <c r="G803" s="15">
        <v>401.63</v>
      </c>
      <c r="H803" s="15">
        <v>1606.52</v>
      </c>
      <c r="I803" s="2">
        <v>15</v>
      </c>
      <c r="J803" s="15">
        <v>1365.54</v>
      </c>
    </row>
    <row r="804" spans="1:10" x14ac:dyDescent="0.3">
      <c r="A804" s="2" t="s">
        <v>835</v>
      </c>
      <c r="B804" s="3">
        <v>46089</v>
      </c>
      <c r="C804" s="2" t="s">
        <v>15</v>
      </c>
      <c r="D804" s="2" t="s">
        <v>29</v>
      </c>
      <c r="E804" s="2" t="s">
        <v>24</v>
      </c>
      <c r="F804" s="2">
        <v>15</v>
      </c>
      <c r="G804" s="15">
        <v>393.26</v>
      </c>
      <c r="H804" s="15">
        <v>5898.9</v>
      </c>
      <c r="I804" s="2">
        <v>10</v>
      </c>
      <c r="J804" s="15">
        <v>5309.01</v>
      </c>
    </row>
    <row r="805" spans="1:10" x14ac:dyDescent="0.3">
      <c r="A805" s="2" t="s">
        <v>836</v>
      </c>
      <c r="B805" s="3">
        <v>45874</v>
      </c>
      <c r="C805" s="2" t="s">
        <v>22</v>
      </c>
      <c r="D805" s="2" t="s">
        <v>19</v>
      </c>
      <c r="E805" s="2" t="s">
        <v>13</v>
      </c>
      <c r="F805" s="2">
        <v>2</v>
      </c>
      <c r="G805" s="15">
        <v>228.86</v>
      </c>
      <c r="H805" s="15">
        <v>457.72</v>
      </c>
      <c r="I805" s="2">
        <v>0</v>
      </c>
      <c r="J805" s="15">
        <v>457.72</v>
      </c>
    </row>
    <row r="806" spans="1:10" x14ac:dyDescent="0.3">
      <c r="A806" s="2" t="s">
        <v>837</v>
      </c>
      <c r="B806" s="3">
        <v>45845</v>
      </c>
      <c r="C806" s="2" t="s">
        <v>18</v>
      </c>
      <c r="D806" s="2" t="s">
        <v>44</v>
      </c>
      <c r="E806" s="2" t="s">
        <v>87</v>
      </c>
      <c r="F806" s="2">
        <v>1</v>
      </c>
      <c r="G806" s="15">
        <v>574.49</v>
      </c>
      <c r="H806" s="15">
        <v>574.49</v>
      </c>
      <c r="I806" s="2">
        <v>0</v>
      </c>
      <c r="J806" s="15">
        <v>574.49</v>
      </c>
    </row>
    <row r="807" spans="1:10" x14ac:dyDescent="0.3">
      <c r="A807" s="2" t="s">
        <v>838</v>
      </c>
      <c r="B807" s="3">
        <v>46025</v>
      </c>
      <c r="C807" s="2" t="s">
        <v>15</v>
      </c>
      <c r="D807" s="2" t="s">
        <v>26</v>
      </c>
      <c r="E807" s="2" t="s">
        <v>33</v>
      </c>
      <c r="F807" s="2">
        <v>18</v>
      </c>
      <c r="G807" s="15">
        <v>456.58</v>
      </c>
      <c r="H807" s="15">
        <v>8218.44</v>
      </c>
      <c r="I807" s="2">
        <v>0</v>
      </c>
      <c r="J807" s="15">
        <v>8218.44</v>
      </c>
    </row>
    <row r="808" spans="1:10" x14ac:dyDescent="0.3">
      <c r="A808" s="2" t="s">
        <v>839</v>
      </c>
      <c r="B808" s="3">
        <v>46126</v>
      </c>
      <c r="C808" s="2" t="s">
        <v>11</v>
      </c>
      <c r="D808" s="2" t="s">
        <v>12</v>
      </c>
      <c r="E808" s="2" t="s">
        <v>27</v>
      </c>
      <c r="F808" s="2">
        <v>9</v>
      </c>
      <c r="G808" s="15">
        <v>733.82</v>
      </c>
      <c r="H808" s="15">
        <v>6604.38</v>
      </c>
      <c r="I808" s="2">
        <v>10</v>
      </c>
      <c r="J808" s="15">
        <v>5943.94</v>
      </c>
    </row>
    <row r="809" spans="1:10" x14ac:dyDescent="0.3">
      <c r="A809" s="2" t="s">
        <v>840</v>
      </c>
      <c r="B809" s="3">
        <v>45852</v>
      </c>
      <c r="C809" s="2" t="s">
        <v>15</v>
      </c>
      <c r="D809" s="2" t="s">
        <v>60</v>
      </c>
      <c r="E809" s="2" t="s">
        <v>13</v>
      </c>
      <c r="F809" s="2">
        <v>18</v>
      </c>
      <c r="G809" s="15">
        <v>814.89</v>
      </c>
      <c r="H809" s="15">
        <v>14668.02</v>
      </c>
      <c r="I809" s="2">
        <v>0</v>
      </c>
      <c r="J809" s="15">
        <v>14668.02</v>
      </c>
    </row>
    <row r="810" spans="1:10" x14ac:dyDescent="0.3">
      <c r="A810" s="2" t="s">
        <v>841</v>
      </c>
      <c r="B810" s="3">
        <v>45919</v>
      </c>
      <c r="C810" s="2" t="s">
        <v>11</v>
      </c>
      <c r="D810" s="2" t="s">
        <v>23</v>
      </c>
      <c r="E810" s="2" t="s">
        <v>30</v>
      </c>
      <c r="F810" s="2">
        <v>13</v>
      </c>
      <c r="G810" s="15">
        <v>816.45</v>
      </c>
      <c r="H810" s="15">
        <v>10613.85</v>
      </c>
      <c r="I810" s="2">
        <v>20</v>
      </c>
      <c r="J810" s="15">
        <v>8491.08</v>
      </c>
    </row>
    <row r="811" spans="1:10" x14ac:dyDescent="0.3">
      <c r="A811" s="2" t="s">
        <v>842</v>
      </c>
      <c r="B811" s="3">
        <v>46130</v>
      </c>
      <c r="C811" s="2" t="s">
        <v>15</v>
      </c>
      <c r="D811" s="2" t="s">
        <v>26</v>
      </c>
      <c r="E811" s="2" t="s">
        <v>24</v>
      </c>
      <c r="F811" s="2">
        <v>4</v>
      </c>
      <c r="G811" s="15">
        <v>823.05</v>
      </c>
      <c r="H811" s="15">
        <v>3292.2</v>
      </c>
      <c r="I811" s="2">
        <v>0</v>
      </c>
      <c r="J811" s="15">
        <v>3292.2</v>
      </c>
    </row>
    <row r="812" spans="1:10" x14ac:dyDescent="0.3">
      <c r="A812" s="2" t="s">
        <v>843</v>
      </c>
      <c r="B812" s="3">
        <v>45964</v>
      </c>
      <c r="C812" s="2" t="s">
        <v>15</v>
      </c>
      <c r="D812" s="2" t="s">
        <v>60</v>
      </c>
      <c r="E812" s="2" t="s">
        <v>76</v>
      </c>
      <c r="F812" s="2">
        <v>18</v>
      </c>
      <c r="G812" s="15">
        <v>664.68</v>
      </c>
      <c r="H812" s="15">
        <v>11964.24</v>
      </c>
      <c r="I812" s="2">
        <v>20</v>
      </c>
      <c r="J812" s="15">
        <v>9571.39</v>
      </c>
    </row>
    <row r="813" spans="1:10" x14ac:dyDescent="0.3">
      <c r="A813" s="2" t="s">
        <v>844</v>
      </c>
      <c r="B813" s="3">
        <v>45936</v>
      </c>
      <c r="C813" s="2" t="s">
        <v>22</v>
      </c>
      <c r="D813" s="2" t="s">
        <v>32</v>
      </c>
      <c r="E813" s="2" t="s">
        <v>20</v>
      </c>
      <c r="F813" s="2">
        <v>11</v>
      </c>
      <c r="G813" s="15">
        <v>483.25</v>
      </c>
      <c r="H813" s="15">
        <v>5315.75</v>
      </c>
      <c r="I813" s="2">
        <v>20</v>
      </c>
      <c r="J813" s="15">
        <v>4252.6000000000004</v>
      </c>
    </row>
    <row r="814" spans="1:10" x14ac:dyDescent="0.3">
      <c r="A814" s="2" t="s">
        <v>845</v>
      </c>
      <c r="B814" s="3">
        <v>45995</v>
      </c>
      <c r="C814" s="2" t="s">
        <v>18</v>
      </c>
      <c r="D814" s="2" t="s">
        <v>29</v>
      </c>
      <c r="E814" s="2" t="s">
        <v>13</v>
      </c>
      <c r="F814" s="2">
        <v>12</v>
      </c>
      <c r="G814" s="15">
        <v>995.82</v>
      </c>
      <c r="H814" s="15">
        <v>11949.84</v>
      </c>
      <c r="I814" s="2">
        <v>10</v>
      </c>
      <c r="J814" s="15">
        <v>10754.86</v>
      </c>
    </row>
    <row r="815" spans="1:10" x14ac:dyDescent="0.3">
      <c r="A815" s="2" t="s">
        <v>846</v>
      </c>
      <c r="B815" s="3">
        <v>45975</v>
      </c>
      <c r="C815" s="2" t="s">
        <v>18</v>
      </c>
      <c r="D815" s="2" t="s">
        <v>23</v>
      </c>
      <c r="E815" s="2" t="s">
        <v>76</v>
      </c>
      <c r="F815" s="2">
        <v>10</v>
      </c>
      <c r="G815" s="15">
        <v>347.13</v>
      </c>
      <c r="H815" s="15">
        <v>3471.3</v>
      </c>
      <c r="I815" s="2">
        <v>15</v>
      </c>
      <c r="J815" s="15">
        <v>2950.61</v>
      </c>
    </row>
    <row r="816" spans="1:10" x14ac:dyDescent="0.3">
      <c r="A816" s="2" t="s">
        <v>847</v>
      </c>
      <c r="B816" s="3">
        <v>46015</v>
      </c>
      <c r="C816" s="2" t="s">
        <v>11</v>
      </c>
      <c r="D816" s="2" t="s">
        <v>60</v>
      </c>
      <c r="E816" s="2" t="s">
        <v>33</v>
      </c>
      <c r="F816" s="2">
        <v>3</v>
      </c>
      <c r="G816" s="15">
        <v>847.58</v>
      </c>
      <c r="H816" s="15">
        <v>2542.7399999999998</v>
      </c>
      <c r="I816" s="2">
        <v>20</v>
      </c>
      <c r="J816" s="15">
        <v>2034.19</v>
      </c>
    </row>
    <row r="817" spans="1:10" x14ac:dyDescent="0.3">
      <c r="A817" s="2" t="s">
        <v>848</v>
      </c>
      <c r="B817" s="3">
        <v>46027</v>
      </c>
      <c r="C817" s="2" t="s">
        <v>22</v>
      </c>
      <c r="D817" s="2" t="s">
        <v>60</v>
      </c>
      <c r="E817" s="2" t="s">
        <v>37</v>
      </c>
      <c r="F817" s="2">
        <v>12</v>
      </c>
      <c r="G817" s="15">
        <v>723.28</v>
      </c>
      <c r="H817" s="15">
        <v>8679.36</v>
      </c>
      <c r="I817" s="2">
        <v>20</v>
      </c>
      <c r="J817" s="15">
        <v>6943.49</v>
      </c>
    </row>
    <row r="818" spans="1:10" x14ac:dyDescent="0.3">
      <c r="A818" s="2" t="s">
        <v>849</v>
      </c>
      <c r="B818" s="3">
        <v>46091</v>
      </c>
      <c r="C818" s="2" t="s">
        <v>11</v>
      </c>
      <c r="D818" s="2" t="s">
        <v>26</v>
      </c>
      <c r="E818" s="2" t="s">
        <v>33</v>
      </c>
      <c r="F818" s="2">
        <v>3</v>
      </c>
      <c r="G818" s="15">
        <v>661.95</v>
      </c>
      <c r="H818" s="15">
        <v>1985.85</v>
      </c>
      <c r="I818" s="2">
        <v>20</v>
      </c>
      <c r="J818" s="15">
        <v>1588.68</v>
      </c>
    </row>
    <row r="819" spans="1:10" x14ac:dyDescent="0.3">
      <c r="A819" s="2" t="s">
        <v>850</v>
      </c>
      <c r="B819" s="3">
        <v>46032</v>
      </c>
      <c r="C819" s="2" t="s">
        <v>18</v>
      </c>
      <c r="D819" s="2" t="s">
        <v>26</v>
      </c>
      <c r="E819" s="2" t="s">
        <v>33</v>
      </c>
      <c r="F819" s="2">
        <v>16</v>
      </c>
      <c r="G819" s="15">
        <v>228.35</v>
      </c>
      <c r="H819" s="15">
        <v>3653.6</v>
      </c>
      <c r="I819" s="2">
        <v>10</v>
      </c>
      <c r="J819" s="15">
        <v>3288.24</v>
      </c>
    </row>
    <row r="820" spans="1:10" x14ac:dyDescent="0.3">
      <c r="A820" s="2" t="s">
        <v>851</v>
      </c>
      <c r="B820" s="3">
        <v>46016</v>
      </c>
      <c r="C820" s="2" t="s">
        <v>18</v>
      </c>
      <c r="D820" s="2" t="s">
        <v>19</v>
      </c>
      <c r="E820" s="2" t="s">
        <v>39</v>
      </c>
      <c r="F820" s="2">
        <v>6</v>
      </c>
      <c r="G820" s="15">
        <v>106.55</v>
      </c>
      <c r="H820" s="15">
        <v>639.29999999999995</v>
      </c>
      <c r="I820" s="2">
        <v>10</v>
      </c>
      <c r="J820" s="15">
        <v>575.37</v>
      </c>
    </row>
    <row r="821" spans="1:10" x14ac:dyDescent="0.3">
      <c r="A821" s="2" t="s">
        <v>852</v>
      </c>
      <c r="B821" s="3">
        <v>46105</v>
      </c>
      <c r="C821" s="2" t="s">
        <v>22</v>
      </c>
      <c r="D821" s="2" t="s">
        <v>44</v>
      </c>
      <c r="E821" s="2" t="s">
        <v>33</v>
      </c>
      <c r="F821" s="2">
        <v>9</v>
      </c>
      <c r="G821" s="15">
        <v>94.96</v>
      </c>
      <c r="H821" s="15">
        <v>854.64</v>
      </c>
      <c r="I821" s="2">
        <v>20</v>
      </c>
      <c r="J821" s="15">
        <v>683.71</v>
      </c>
    </row>
    <row r="822" spans="1:10" x14ac:dyDescent="0.3">
      <c r="A822" s="2" t="s">
        <v>853</v>
      </c>
      <c r="B822" s="3">
        <v>45890</v>
      </c>
      <c r="C822" s="2" t="s">
        <v>18</v>
      </c>
      <c r="D822" s="2" t="s">
        <v>44</v>
      </c>
      <c r="E822" s="2" t="s">
        <v>33</v>
      </c>
      <c r="F822" s="2">
        <v>14</v>
      </c>
      <c r="G822" s="15">
        <v>811.04</v>
      </c>
      <c r="H822" s="15">
        <v>11354.56</v>
      </c>
      <c r="I822" s="2">
        <v>15</v>
      </c>
      <c r="J822" s="15">
        <v>9651.3799999999992</v>
      </c>
    </row>
    <row r="823" spans="1:10" x14ac:dyDescent="0.3">
      <c r="A823" s="2" t="s">
        <v>854</v>
      </c>
      <c r="B823" s="3">
        <v>45894</v>
      </c>
      <c r="C823" s="2" t="s">
        <v>11</v>
      </c>
      <c r="D823" s="2" t="s">
        <v>16</v>
      </c>
      <c r="E823" s="2" t="s">
        <v>39</v>
      </c>
      <c r="F823" s="2">
        <v>4</v>
      </c>
      <c r="G823" s="15">
        <v>646.96</v>
      </c>
      <c r="H823" s="15">
        <v>2587.84</v>
      </c>
      <c r="I823" s="2">
        <v>0</v>
      </c>
      <c r="J823" s="15">
        <v>2587.84</v>
      </c>
    </row>
    <row r="824" spans="1:10" x14ac:dyDescent="0.3">
      <c r="A824" s="2" t="s">
        <v>855</v>
      </c>
      <c r="B824" s="3">
        <v>45970</v>
      </c>
      <c r="C824" s="2" t="s">
        <v>11</v>
      </c>
      <c r="D824" s="2" t="s">
        <v>12</v>
      </c>
      <c r="E824" s="2" t="s">
        <v>76</v>
      </c>
      <c r="F824" s="2">
        <v>3</v>
      </c>
      <c r="G824" s="15">
        <v>910.08</v>
      </c>
      <c r="H824" s="15">
        <v>2730.24</v>
      </c>
      <c r="I824" s="2">
        <v>10</v>
      </c>
      <c r="J824" s="15">
        <v>2457.2199999999998</v>
      </c>
    </row>
    <row r="825" spans="1:10" x14ac:dyDescent="0.3">
      <c r="A825" s="2" t="s">
        <v>856</v>
      </c>
      <c r="B825" s="3">
        <v>46162</v>
      </c>
      <c r="C825" s="2" t="s">
        <v>11</v>
      </c>
      <c r="D825" s="2" t="s">
        <v>23</v>
      </c>
      <c r="E825" s="2" t="s">
        <v>76</v>
      </c>
      <c r="F825" s="2">
        <v>3</v>
      </c>
      <c r="G825" s="15">
        <v>128.28</v>
      </c>
      <c r="H825" s="15">
        <v>384.84</v>
      </c>
      <c r="I825" s="2">
        <v>15</v>
      </c>
      <c r="J825" s="15">
        <v>327.11</v>
      </c>
    </row>
    <row r="826" spans="1:10" x14ac:dyDescent="0.3">
      <c r="A826" s="2" t="s">
        <v>857</v>
      </c>
      <c r="B826" s="3">
        <v>46132</v>
      </c>
      <c r="C826" s="2" t="s">
        <v>15</v>
      </c>
      <c r="D826" s="2" t="s">
        <v>23</v>
      </c>
      <c r="E826" s="2" t="s">
        <v>24</v>
      </c>
      <c r="F826" s="2">
        <v>3</v>
      </c>
      <c r="G826" s="15">
        <v>336.75</v>
      </c>
      <c r="H826" s="15">
        <v>1010.25</v>
      </c>
      <c r="I826" s="2">
        <v>0</v>
      </c>
      <c r="J826" s="15">
        <v>1010.25</v>
      </c>
    </row>
    <row r="827" spans="1:10" x14ac:dyDescent="0.3">
      <c r="A827" s="2" t="s">
        <v>858</v>
      </c>
      <c r="B827" s="3">
        <v>45852</v>
      </c>
      <c r="C827" s="2" t="s">
        <v>18</v>
      </c>
      <c r="D827" s="2" t="s">
        <v>60</v>
      </c>
      <c r="E827" s="2" t="s">
        <v>87</v>
      </c>
      <c r="F827" s="2">
        <v>17</v>
      </c>
      <c r="G827" s="15">
        <v>629.05999999999995</v>
      </c>
      <c r="H827" s="15">
        <v>10694.02</v>
      </c>
      <c r="I827" s="2">
        <v>15</v>
      </c>
      <c r="J827" s="15">
        <v>9089.92</v>
      </c>
    </row>
    <row r="828" spans="1:10" x14ac:dyDescent="0.3">
      <c r="A828" s="2" t="s">
        <v>859</v>
      </c>
      <c r="B828" s="3">
        <v>45991</v>
      </c>
      <c r="C828" s="2" t="s">
        <v>15</v>
      </c>
      <c r="D828" s="2" t="s">
        <v>23</v>
      </c>
      <c r="E828" s="2" t="s">
        <v>37</v>
      </c>
      <c r="F828" s="2">
        <v>16</v>
      </c>
      <c r="G828" s="15">
        <v>620.66999999999996</v>
      </c>
      <c r="H828" s="15">
        <v>9930.7199999999993</v>
      </c>
      <c r="I828" s="2">
        <v>15</v>
      </c>
      <c r="J828" s="15">
        <v>8441.11</v>
      </c>
    </row>
    <row r="829" spans="1:10" x14ac:dyDescent="0.3">
      <c r="A829" s="2" t="s">
        <v>860</v>
      </c>
      <c r="B829" s="3">
        <v>45903</v>
      </c>
      <c r="C829" s="2" t="s">
        <v>22</v>
      </c>
      <c r="D829" s="2" t="s">
        <v>60</v>
      </c>
      <c r="E829" s="2" t="s">
        <v>33</v>
      </c>
      <c r="F829" s="2">
        <v>7</v>
      </c>
      <c r="G829" s="15">
        <v>55.67</v>
      </c>
      <c r="H829" s="15">
        <v>389.69</v>
      </c>
      <c r="I829" s="2">
        <v>10</v>
      </c>
      <c r="J829" s="15">
        <v>350.72</v>
      </c>
    </row>
    <row r="830" spans="1:10" x14ac:dyDescent="0.3">
      <c r="A830" s="2" t="s">
        <v>861</v>
      </c>
      <c r="B830" s="3">
        <v>46119</v>
      </c>
      <c r="C830" s="2" t="s">
        <v>22</v>
      </c>
      <c r="D830" s="2" t="s">
        <v>52</v>
      </c>
      <c r="E830" s="2" t="s">
        <v>39</v>
      </c>
      <c r="F830" s="2">
        <v>2</v>
      </c>
      <c r="G830" s="15">
        <v>237.17</v>
      </c>
      <c r="H830" s="15">
        <v>474.34</v>
      </c>
      <c r="I830" s="2">
        <v>0</v>
      </c>
      <c r="J830" s="15">
        <v>474.34</v>
      </c>
    </row>
    <row r="831" spans="1:10" x14ac:dyDescent="0.3">
      <c r="A831" s="2" t="s">
        <v>862</v>
      </c>
      <c r="B831" s="3">
        <v>45903</v>
      </c>
      <c r="C831" s="2" t="s">
        <v>22</v>
      </c>
      <c r="D831" s="2" t="s">
        <v>26</v>
      </c>
      <c r="E831" s="2" t="s">
        <v>33</v>
      </c>
      <c r="F831" s="2">
        <v>10</v>
      </c>
      <c r="G831" s="15">
        <v>518.76</v>
      </c>
      <c r="H831" s="15">
        <v>5187.6000000000004</v>
      </c>
      <c r="I831" s="2">
        <v>10</v>
      </c>
      <c r="J831" s="15">
        <v>4668.84</v>
      </c>
    </row>
    <row r="832" spans="1:10" x14ac:dyDescent="0.3">
      <c r="A832" s="2" t="s">
        <v>863</v>
      </c>
      <c r="B832" s="3">
        <v>45842</v>
      </c>
      <c r="C832" s="2" t="s">
        <v>18</v>
      </c>
      <c r="D832" s="2" t="s">
        <v>44</v>
      </c>
      <c r="E832" s="2" t="s">
        <v>39</v>
      </c>
      <c r="F832" s="2">
        <v>17</v>
      </c>
      <c r="G832" s="15">
        <v>433.85</v>
      </c>
      <c r="H832" s="15">
        <v>7375.45</v>
      </c>
      <c r="I832" s="2">
        <v>20</v>
      </c>
      <c r="J832" s="15">
        <v>5900.36</v>
      </c>
    </row>
    <row r="833" spans="1:10" x14ac:dyDescent="0.3">
      <c r="A833" s="2" t="s">
        <v>864</v>
      </c>
      <c r="B833" s="3">
        <v>45900</v>
      </c>
      <c r="C833" s="2" t="s">
        <v>22</v>
      </c>
      <c r="D833" s="2" t="s">
        <v>29</v>
      </c>
      <c r="E833" s="2" t="s">
        <v>24</v>
      </c>
      <c r="F833" s="2">
        <v>14</v>
      </c>
      <c r="G833" s="15">
        <v>559.29999999999995</v>
      </c>
      <c r="H833" s="15">
        <v>7830.2</v>
      </c>
      <c r="I833" s="2">
        <v>20</v>
      </c>
      <c r="J833" s="15">
        <v>6264.16</v>
      </c>
    </row>
    <row r="834" spans="1:10" x14ac:dyDescent="0.3">
      <c r="A834" s="2" t="s">
        <v>865</v>
      </c>
      <c r="B834" s="3">
        <v>45969</v>
      </c>
      <c r="C834" s="2" t="s">
        <v>11</v>
      </c>
      <c r="D834" s="2" t="s">
        <v>16</v>
      </c>
      <c r="E834" s="2" t="s">
        <v>76</v>
      </c>
      <c r="F834" s="2">
        <v>8</v>
      </c>
      <c r="G834" s="15">
        <v>222.73</v>
      </c>
      <c r="H834" s="15">
        <v>1781.84</v>
      </c>
      <c r="I834" s="2">
        <v>15</v>
      </c>
      <c r="J834" s="15">
        <v>1514.56</v>
      </c>
    </row>
    <row r="835" spans="1:10" x14ac:dyDescent="0.3">
      <c r="A835" s="2" t="s">
        <v>866</v>
      </c>
      <c r="B835" s="3">
        <v>45980</v>
      </c>
      <c r="C835" s="2" t="s">
        <v>11</v>
      </c>
      <c r="D835" s="2" t="s">
        <v>60</v>
      </c>
      <c r="E835" s="2" t="s">
        <v>39</v>
      </c>
      <c r="F835" s="2">
        <v>16</v>
      </c>
      <c r="G835" s="15">
        <v>152.91</v>
      </c>
      <c r="H835" s="15">
        <v>2446.56</v>
      </c>
      <c r="I835" s="2">
        <v>20</v>
      </c>
      <c r="J835" s="15">
        <v>1957.25</v>
      </c>
    </row>
    <row r="836" spans="1:10" x14ac:dyDescent="0.3">
      <c r="A836" s="2" t="s">
        <v>867</v>
      </c>
      <c r="B836" s="3">
        <v>46011</v>
      </c>
      <c r="C836" s="2" t="s">
        <v>15</v>
      </c>
      <c r="D836" s="2" t="s">
        <v>32</v>
      </c>
      <c r="E836" s="2" t="s">
        <v>37</v>
      </c>
      <c r="F836" s="2">
        <v>7</v>
      </c>
      <c r="G836" s="15">
        <v>374.89</v>
      </c>
      <c r="H836" s="15">
        <v>2624.23</v>
      </c>
      <c r="I836" s="2">
        <v>5</v>
      </c>
      <c r="J836" s="15">
        <v>2493.02</v>
      </c>
    </row>
    <row r="837" spans="1:10" x14ac:dyDescent="0.3">
      <c r="A837" s="2" t="s">
        <v>868</v>
      </c>
      <c r="B837" s="3">
        <v>46164</v>
      </c>
      <c r="C837" s="2" t="s">
        <v>18</v>
      </c>
      <c r="D837" s="2" t="s">
        <v>29</v>
      </c>
      <c r="E837" s="2" t="s">
        <v>30</v>
      </c>
      <c r="F837" s="2">
        <v>11</v>
      </c>
      <c r="G837" s="15">
        <v>298.10000000000002</v>
      </c>
      <c r="H837" s="15">
        <v>3279.1</v>
      </c>
      <c r="I837" s="2">
        <v>10</v>
      </c>
      <c r="J837" s="15">
        <v>2951.19</v>
      </c>
    </row>
    <row r="838" spans="1:10" x14ac:dyDescent="0.3">
      <c r="A838" s="2" t="s">
        <v>869</v>
      </c>
      <c r="B838" s="3">
        <v>45989</v>
      </c>
      <c r="C838" s="2" t="s">
        <v>18</v>
      </c>
      <c r="D838" s="2" t="s">
        <v>12</v>
      </c>
      <c r="E838" s="2" t="s">
        <v>37</v>
      </c>
      <c r="F838" s="2">
        <v>14</v>
      </c>
      <c r="G838" s="15">
        <v>579.39</v>
      </c>
      <c r="H838" s="15">
        <v>8111.46</v>
      </c>
      <c r="I838" s="2">
        <v>0</v>
      </c>
      <c r="J838" s="15">
        <v>8111.46</v>
      </c>
    </row>
    <row r="839" spans="1:10" x14ac:dyDescent="0.3">
      <c r="A839" s="2" t="s">
        <v>870</v>
      </c>
      <c r="B839" s="3">
        <v>45858</v>
      </c>
      <c r="C839" s="2" t="s">
        <v>15</v>
      </c>
      <c r="D839" s="2" t="s">
        <v>52</v>
      </c>
      <c r="E839" s="2" t="s">
        <v>30</v>
      </c>
      <c r="F839" s="2">
        <v>19</v>
      </c>
      <c r="G839" s="15">
        <v>814.06</v>
      </c>
      <c r="H839" s="15">
        <v>15467.14</v>
      </c>
      <c r="I839" s="2">
        <v>10</v>
      </c>
      <c r="J839" s="15">
        <v>13920.43</v>
      </c>
    </row>
    <row r="840" spans="1:10" x14ac:dyDescent="0.3">
      <c r="A840" s="2" t="s">
        <v>871</v>
      </c>
      <c r="B840" s="3">
        <v>46018</v>
      </c>
      <c r="C840" s="2" t="s">
        <v>22</v>
      </c>
      <c r="D840" s="2" t="s">
        <v>52</v>
      </c>
      <c r="E840" s="2" t="s">
        <v>37</v>
      </c>
      <c r="F840" s="2">
        <v>1</v>
      </c>
      <c r="G840" s="15">
        <v>520.36</v>
      </c>
      <c r="H840" s="15">
        <v>520.36</v>
      </c>
      <c r="I840" s="2">
        <v>5</v>
      </c>
      <c r="J840" s="15">
        <v>494.34</v>
      </c>
    </row>
    <row r="841" spans="1:10" x14ac:dyDescent="0.3">
      <c r="A841" s="2" t="s">
        <v>872</v>
      </c>
      <c r="B841" s="3">
        <v>46124</v>
      </c>
      <c r="C841" s="2" t="s">
        <v>22</v>
      </c>
      <c r="D841" s="2" t="s">
        <v>52</v>
      </c>
      <c r="E841" s="2" t="s">
        <v>24</v>
      </c>
      <c r="F841" s="2">
        <v>20</v>
      </c>
      <c r="G841" s="15">
        <v>939.74</v>
      </c>
      <c r="H841" s="15">
        <v>18794.8</v>
      </c>
      <c r="I841" s="2">
        <v>15</v>
      </c>
      <c r="J841" s="15">
        <v>15975.58</v>
      </c>
    </row>
    <row r="842" spans="1:10" x14ac:dyDescent="0.3">
      <c r="A842" s="2" t="s">
        <v>873</v>
      </c>
      <c r="B842" s="3">
        <v>45901</v>
      </c>
      <c r="C842" s="2" t="s">
        <v>22</v>
      </c>
      <c r="D842" s="2" t="s">
        <v>44</v>
      </c>
      <c r="E842" s="2" t="s">
        <v>13</v>
      </c>
      <c r="F842" s="2">
        <v>19</v>
      </c>
      <c r="G842" s="15">
        <v>112.93</v>
      </c>
      <c r="H842" s="15">
        <v>2145.67</v>
      </c>
      <c r="I842" s="2">
        <v>0</v>
      </c>
      <c r="J842" s="15">
        <v>2145.67</v>
      </c>
    </row>
    <row r="843" spans="1:10" x14ac:dyDescent="0.3">
      <c r="A843" s="2" t="s">
        <v>874</v>
      </c>
      <c r="B843" s="3">
        <v>45804</v>
      </c>
      <c r="C843" s="2" t="s">
        <v>22</v>
      </c>
      <c r="D843" s="2" t="s">
        <v>23</v>
      </c>
      <c r="E843" s="2" t="s">
        <v>20</v>
      </c>
      <c r="F843" s="2">
        <v>7</v>
      </c>
      <c r="G843" s="15">
        <v>885.04</v>
      </c>
      <c r="H843" s="15">
        <v>6195.28</v>
      </c>
      <c r="I843" s="2">
        <v>0</v>
      </c>
      <c r="J843" s="15">
        <v>6195.28</v>
      </c>
    </row>
    <row r="844" spans="1:10" x14ac:dyDescent="0.3">
      <c r="A844" s="2" t="s">
        <v>875</v>
      </c>
      <c r="B844" s="3">
        <v>45994</v>
      </c>
      <c r="C844" s="2" t="s">
        <v>22</v>
      </c>
      <c r="D844" s="2" t="s">
        <v>12</v>
      </c>
      <c r="E844" s="2" t="s">
        <v>37</v>
      </c>
      <c r="F844" s="2">
        <v>11</v>
      </c>
      <c r="G844" s="15">
        <v>277.32</v>
      </c>
      <c r="H844" s="15">
        <v>3050.52</v>
      </c>
      <c r="I844" s="2">
        <v>0</v>
      </c>
      <c r="J844" s="15">
        <v>3050.52</v>
      </c>
    </row>
    <row r="845" spans="1:10" x14ac:dyDescent="0.3">
      <c r="A845" s="2" t="s">
        <v>876</v>
      </c>
      <c r="B845" s="3">
        <v>45967</v>
      </c>
      <c r="C845" s="2" t="s">
        <v>22</v>
      </c>
      <c r="D845" s="2" t="s">
        <v>32</v>
      </c>
      <c r="E845" s="2" t="s">
        <v>33</v>
      </c>
      <c r="F845" s="2">
        <v>17</v>
      </c>
      <c r="G845" s="15">
        <v>613.15</v>
      </c>
      <c r="H845" s="15">
        <v>10423.549999999999</v>
      </c>
      <c r="I845" s="2">
        <v>20</v>
      </c>
      <c r="J845" s="15">
        <v>8338.84</v>
      </c>
    </row>
    <row r="846" spans="1:10" x14ac:dyDescent="0.3">
      <c r="A846" s="2" t="s">
        <v>877</v>
      </c>
      <c r="B846" s="3">
        <v>45924</v>
      </c>
      <c r="C846" s="2" t="s">
        <v>22</v>
      </c>
      <c r="D846" s="2" t="s">
        <v>60</v>
      </c>
      <c r="E846" s="2" t="s">
        <v>24</v>
      </c>
      <c r="F846" s="2">
        <v>16</v>
      </c>
      <c r="G846" s="15">
        <v>471.16</v>
      </c>
      <c r="H846" s="15">
        <v>7538.56</v>
      </c>
      <c r="I846" s="2">
        <v>0</v>
      </c>
      <c r="J846" s="15">
        <v>7538.56</v>
      </c>
    </row>
    <row r="847" spans="1:10" x14ac:dyDescent="0.3">
      <c r="A847" s="2" t="s">
        <v>878</v>
      </c>
      <c r="B847" s="3">
        <v>45880</v>
      </c>
      <c r="C847" s="2" t="s">
        <v>22</v>
      </c>
      <c r="D847" s="2" t="s">
        <v>23</v>
      </c>
      <c r="E847" s="2" t="s">
        <v>27</v>
      </c>
      <c r="F847" s="2">
        <v>14</v>
      </c>
      <c r="G847" s="15">
        <v>970.01</v>
      </c>
      <c r="H847" s="15">
        <v>13580.14</v>
      </c>
      <c r="I847" s="2">
        <v>15</v>
      </c>
      <c r="J847" s="15">
        <v>11543.12</v>
      </c>
    </row>
    <row r="848" spans="1:10" x14ac:dyDescent="0.3">
      <c r="A848" s="2" t="s">
        <v>879</v>
      </c>
      <c r="B848" s="3">
        <v>45943</v>
      </c>
      <c r="C848" s="2" t="s">
        <v>18</v>
      </c>
      <c r="D848" s="2" t="s">
        <v>12</v>
      </c>
      <c r="E848" s="2" t="s">
        <v>20</v>
      </c>
      <c r="F848" s="2">
        <v>12</v>
      </c>
      <c r="G848" s="15">
        <v>301.16000000000003</v>
      </c>
      <c r="H848" s="15">
        <v>3613.92</v>
      </c>
      <c r="I848" s="2">
        <v>5</v>
      </c>
      <c r="J848" s="15">
        <v>3433.22</v>
      </c>
    </row>
    <row r="849" spans="1:10" x14ac:dyDescent="0.3">
      <c r="A849" s="2" t="s">
        <v>880</v>
      </c>
      <c r="B849" s="3">
        <v>45891</v>
      </c>
      <c r="C849" s="2" t="s">
        <v>15</v>
      </c>
      <c r="D849" s="2" t="s">
        <v>52</v>
      </c>
      <c r="E849" s="2" t="s">
        <v>87</v>
      </c>
      <c r="F849" s="2">
        <v>7</v>
      </c>
      <c r="G849" s="15">
        <v>288.01</v>
      </c>
      <c r="H849" s="15">
        <v>2016.07</v>
      </c>
      <c r="I849" s="2">
        <v>0</v>
      </c>
      <c r="J849" s="15">
        <v>2016.07</v>
      </c>
    </row>
    <row r="850" spans="1:10" x14ac:dyDescent="0.3">
      <c r="A850" s="2" t="s">
        <v>881</v>
      </c>
      <c r="B850" s="3">
        <v>46074</v>
      </c>
      <c r="C850" s="2" t="s">
        <v>11</v>
      </c>
      <c r="D850" s="2" t="s">
        <v>52</v>
      </c>
      <c r="E850" s="2" t="s">
        <v>33</v>
      </c>
      <c r="F850" s="2">
        <v>4</v>
      </c>
      <c r="G850" s="15">
        <v>156.79</v>
      </c>
      <c r="H850" s="15">
        <v>627.16</v>
      </c>
      <c r="I850" s="2">
        <v>20</v>
      </c>
      <c r="J850" s="15">
        <v>501.73</v>
      </c>
    </row>
    <row r="851" spans="1:10" x14ac:dyDescent="0.3">
      <c r="A851" s="2" t="s">
        <v>882</v>
      </c>
      <c r="B851" s="3">
        <v>45839</v>
      </c>
      <c r="C851" s="2" t="s">
        <v>11</v>
      </c>
      <c r="D851" s="2" t="s">
        <v>19</v>
      </c>
      <c r="E851" s="2" t="s">
        <v>87</v>
      </c>
      <c r="F851" s="2">
        <v>13</v>
      </c>
      <c r="G851" s="15">
        <v>802.63</v>
      </c>
      <c r="H851" s="15">
        <v>10434.19</v>
      </c>
      <c r="I851" s="2">
        <v>20</v>
      </c>
      <c r="J851" s="15">
        <v>8347.35</v>
      </c>
    </row>
    <row r="852" spans="1:10" x14ac:dyDescent="0.3">
      <c r="A852" s="2" t="s">
        <v>883</v>
      </c>
      <c r="B852" s="3">
        <v>46123</v>
      </c>
      <c r="C852" s="2" t="s">
        <v>15</v>
      </c>
      <c r="D852" s="2" t="s">
        <v>12</v>
      </c>
      <c r="E852" s="2" t="s">
        <v>27</v>
      </c>
      <c r="F852" s="2">
        <v>1</v>
      </c>
      <c r="G852" s="15">
        <v>220.02</v>
      </c>
      <c r="H852" s="15">
        <v>220.02</v>
      </c>
      <c r="I852" s="2">
        <v>10</v>
      </c>
      <c r="J852" s="15">
        <v>198.02</v>
      </c>
    </row>
    <row r="853" spans="1:10" x14ac:dyDescent="0.3">
      <c r="A853" s="2" t="s">
        <v>884</v>
      </c>
      <c r="B853" s="3">
        <v>46009</v>
      </c>
      <c r="C853" s="2" t="s">
        <v>11</v>
      </c>
      <c r="D853" s="2" t="s">
        <v>60</v>
      </c>
      <c r="E853" s="2" t="s">
        <v>76</v>
      </c>
      <c r="F853" s="2">
        <v>12</v>
      </c>
      <c r="G853" s="15">
        <v>942.47</v>
      </c>
      <c r="H853" s="15">
        <v>11309.64</v>
      </c>
      <c r="I853" s="2">
        <v>20</v>
      </c>
      <c r="J853" s="15">
        <v>9047.7099999999991</v>
      </c>
    </row>
    <row r="854" spans="1:10" x14ac:dyDescent="0.3">
      <c r="A854" s="2" t="s">
        <v>885</v>
      </c>
      <c r="B854" s="3">
        <v>46151</v>
      </c>
      <c r="C854" s="2" t="s">
        <v>22</v>
      </c>
      <c r="D854" s="2" t="s">
        <v>29</v>
      </c>
      <c r="E854" s="2" t="s">
        <v>27</v>
      </c>
      <c r="F854" s="2">
        <v>17</v>
      </c>
      <c r="G854" s="15">
        <v>644.29999999999995</v>
      </c>
      <c r="H854" s="15">
        <v>10953.1</v>
      </c>
      <c r="I854" s="2">
        <v>0</v>
      </c>
      <c r="J854" s="15">
        <v>10953.1</v>
      </c>
    </row>
    <row r="855" spans="1:10" x14ac:dyDescent="0.3">
      <c r="A855" s="2" t="s">
        <v>886</v>
      </c>
      <c r="B855" s="3">
        <v>45983</v>
      </c>
      <c r="C855" s="2" t="s">
        <v>11</v>
      </c>
      <c r="D855" s="2" t="s">
        <v>32</v>
      </c>
      <c r="E855" s="2" t="s">
        <v>20</v>
      </c>
      <c r="F855" s="2">
        <v>4</v>
      </c>
      <c r="G855" s="15">
        <v>420.59</v>
      </c>
      <c r="H855" s="15">
        <v>1682.36</v>
      </c>
      <c r="I855" s="2">
        <v>0</v>
      </c>
      <c r="J855" s="15">
        <v>1682.36</v>
      </c>
    </row>
    <row r="856" spans="1:10" x14ac:dyDescent="0.3">
      <c r="A856" s="2" t="s">
        <v>887</v>
      </c>
      <c r="B856" s="3">
        <v>45858</v>
      </c>
      <c r="C856" s="2" t="s">
        <v>15</v>
      </c>
      <c r="D856" s="2" t="s">
        <v>29</v>
      </c>
      <c r="E856" s="2" t="s">
        <v>27</v>
      </c>
      <c r="F856" s="2">
        <v>15</v>
      </c>
      <c r="G856" s="15">
        <v>599.02</v>
      </c>
      <c r="H856" s="15">
        <v>8985.2999999999993</v>
      </c>
      <c r="I856" s="2">
        <v>5</v>
      </c>
      <c r="J856" s="15">
        <v>8536.0300000000007</v>
      </c>
    </row>
    <row r="857" spans="1:10" x14ac:dyDescent="0.3">
      <c r="A857" s="2" t="s">
        <v>888</v>
      </c>
      <c r="B857" s="3">
        <v>46139</v>
      </c>
      <c r="C857" s="2" t="s">
        <v>15</v>
      </c>
      <c r="D857" s="2" t="s">
        <v>44</v>
      </c>
      <c r="E857" s="2" t="s">
        <v>37</v>
      </c>
      <c r="F857" s="2">
        <v>7</v>
      </c>
      <c r="G857" s="15">
        <v>227.59</v>
      </c>
      <c r="H857" s="15">
        <v>1593.13</v>
      </c>
      <c r="I857" s="2">
        <v>10</v>
      </c>
      <c r="J857" s="15">
        <v>1433.82</v>
      </c>
    </row>
    <row r="858" spans="1:10" x14ac:dyDescent="0.3">
      <c r="A858" s="2" t="s">
        <v>889</v>
      </c>
      <c r="B858" s="3">
        <v>45942</v>
      </c>
      <c r="C858" s="2" t="s">
        <v>15</v>
      </c>
      <c r="D858" s="2" t="s">
        <v>44</v>
      </c>
      <c r="E858" s="2" t="s">
        <v>27</v>
      </c>
      <c r="F858" s="2">
        <v>16</v>
      </c>
      <c r="G858" s="15">
        <v>722.82</v>
      </c>
      <c r="H858" s="15">
        <v>11565.12</v>
      </c>
      <c r="I858" s="2">
        <v>10</v>
      </c>
      <c r="J858" s="15">
        <v>10408.61</v>
      </c>
    </row>
    <row r="859" spans="1:10" x14ac:dyDescent="0.3">
      <c r="A859" s="2" t="s">
        <v>890</v>
      </c>
      <c r="B859" s="3">
        <v>45807</v>
      </c>
      <c r="C859" s="2" t="s">
        <v>15</v>
      </c>
      <c r="D859" s="2" t="s">
        <v>60</v>
      </c>
      <c r="E859" s="2" t="s">
        <v>13</v>
      </c>
      <c r="F859" s="2">
        <v>11</v>
      </c>
      <c r="G859" s="15">
        <v>845.56</v>
      </c>
      <c r="H859" s="15">
        <v>9301.16</v>
      </c>
      <c r="I859" s="2">
        <v>5</v>
      </c>
      <c r="J859" s="15">
        <v>8836.1</v>
      </c>
    </row>
    <row r="860" spans="1:10" x14ac:dyDescent="0.3">
      <c r="A860" s="2" t="s">
        <v>891</v>
      </c>
      <c r="B860" s="3">
        <v>46018</v>
      </c>
      <c r="C860" s="2" t="s">
        <v>15</v>
      </c>
      <c r="D860" s="2" t="s">
        <v>26</v>
      </c>
      <c r="E860" s="2" t="s">
        <v>24</v>
      </c>
      <c r="F860" s="2">
        <v>7</v>
      </c>
      <c r="G860" s="15">
        <v>505.96</v>
      </c>
      <c r="H860" s="15">
        <v>3541.72</v>
      </c>
      <c r="I860" s="2">
        <v>20</v>
      </c>
      <c r="J860" s="15">
        <v>2833.38</v>
      </c>
    </row>
    <row r="861" spans="1:10" x14ac:dyDescent="0.3">
      <c r="A861" s="2" t="s">
        <v>892</v>
      </c>
      <c r="B861" s="3">
        <v>45887</v>
      </c>
      <c r="C861" s="2" t="s">
        <v>11</v>
      </c>
      <c r="D861" s="2" t="s">
        <v>44</v>
      </c>
      <c r="E861" s="2" t="s">
        <v>37</v>
      </c>
      <c r="F861" s="2">
        <v>14</v>
      </c>
      <c r="G861" s="15">
        <v>845.59</v>
      </c>
      <c r="H861" s="15">
        <v>11838.26</v>
      </c>
      <c r="I861" s="2">
        <v>5</v>
      </c>
      <c r="J861" s="15">
        <v>11246.35</v>
      </c>
    </row>
    <row r="862" spans="1:10" x14ac:dyDescent="0.3">
      <c r="A862" s="2" t="s">
        <v>893</v>
      </c>
      <c r="B862" s="3">
        <v>45930</v>
      </c>
      <c r="C862" s="2" t="s">
        <v>22</v>
      </c>
      <c r="D862" s="2" t="s">
        <v>23</v>
      </c>
      <c r="E862" s="2" t="s">
        <v>20</v>
      </c>
      <c r="F862" s="2">
        <v>15</v>
      </c>
      <c r="G862" s="15">
        <v>583.23</v>
      </c>
      <c r="H862" s="15">
        <v>8748.4500000000007</v>
      </c>
      <c r="I862" s="2">
        <v>20</v>
      </c>
      <c r="J862" s="15">
        <v>6998.76</v>
      </c>
    </row>
    <row r="863" spans="1:10" x14ac:dyDescent="0.3">
      <c r="A863" s="2" t="s">
        <v>894</v>
      </c>
      <c r="B863" s="3">
        <v>46151</v>
      </c>
      <c r="C863" s="2" t="s">
        <v>18</v>
      </c>
      <c r="D863" s="2" t="s">
        <v>23</v>
      </c>
      <c r="E863" s="2" t="s">
        <v>13</v>
      </c>
      <c r="F863" s="2">
        <v>9</v>
      </c>
      <c r="G863" s="15">
        <v>975.21</v>
      </c>
      <c r="H863" s="15">
        <v>8776.89</v>
      </c>
      <c r="I863" s="2">
        <v>20</v>
      </c>
      <c r="J863" s="15">
        <v>7021.51</v>
      </c>
    </row>
    <row r="864" spans="1:10" x14ac:dyDescent="0.3">
      <c r="A864" s="2" t="s">
        <v>895</v>
      </c>
      <c r="B864" s="3">
        <v>46008</v>
      </c>
      <c r="C864" s="2" t="s">
        <v>15</v>
      </c>
      <c r="D864" s="2" t="s">
        <v>12</v>
      </c>
      <c r="E864" s="2" t="s">
        <v>87</v>
      </c>
      <c r="F864" s="2">
        <v>14</v>
      </c>
      <c r="G864" s="15">
        <v>338.45</v>
      </c>
      <c r="H864" s="15">
        <v>4738.3</v>
      </c>
      <c r="I864" s="2">
        <v>10</v>
      </c>
      <c r="J864" s="15">
        <v>4264.47</v>
      </c>
    </row>
    <row r="865" spans="1:10" x14ac:dyDescent="0.3">
      <c r="A865" s="2" t="s">
        <v>896</v>
      </c>
      <c r="B865" s="3">
        <v>46158</v>
      </c>
      <c r="C865" s="2" t="s">
        <v>18</v>
      </c>
      <c r="D865" s="2" t="s">
        <v>26</v>
      </c>
      <c r="E865" s="2" t="s">
        <v>20</v>
      </c>
      <c r="F865" s="2">
        <v>8</v>
      </c>
      <c r="G865" s="15">
        <v>407.41</v>
      </c>
      <c r="H865" s="15">
        <v>3259.28</v>
      </c>
      <c r="I865" s="2">
        <v>10</v>
      </c>
      <c r="J865" s="15">
        <v>2933.35</v>
      </c>
    </row>
    <row r="866" spans="1:10" x14ac:dyDescent="0.3">
      <c r="A866" s="2" t="s">
        <v>897</v>
      </c>
      <c r="B866" s="3">
        <v>45955</v>
      </c>
      <c r="C866" s="2" t="s">
        <v>11</v>
      </c>
      <c r="D866" s="2" t="s">
        <v>60</v>
      </c>
      <c r="E866" s="2" t="s">
        <v>20</v>
      </c>
      <c r="F866" s="2">
        <v>14</v>
      </c>
      <c r="G866" s="15">
        <v>419.84</v>
      </c>
      <c r="H866" s="15">
        <v>5877.76</v>
      </c>
      <c r="I866" s="2">
        <v>0</v>
      </c>
      <c r="J866" s="15">
        <v>5877.76</v>
      </c>
    </row>
    <row r="867" spans="1:10" x14ac:dyDescent="0.3">
      <c r="A867" s="2" t="s">
        <v>898</v>
      </c>
      <c r="B867" s="3">
        <v>45864</v>
      </c>
      <c r="C867" s="2" t="s">
        <v>22</v>
      </c>
      <c r="D867" s="2" t="s">
        <v>16</v>
      </c>
      <c r="E867" s="2" t="s">
        <v>37</v>
      </c>
      <c r="F867" s="2">
        <v>5</v>
      </c>
      <c r="G867" s="15">
        <v>63.96</v>
      </c>
      <c r="H867" s="15">
        <v>319.8</v>
      </c>
      <c r="I867" s="2">
        <v>15</v>
      </c>
      <c r="J867" s="15">
        <v>271.83</v>
      </c>
    </row>
    <row r="868" spans="1:10" x14ac:dyDescent="0.3">
      <c r="A868" s="2" t="s">
        <v>899</v>
      </c>
      <c r="B868" s="3">
        <v>46135</v>
      </c>
      <c r="C868" s="2" t="s">
        <v>15</v>
      </c>
      <c r="D868" s="2" t="s">
        <v>12</v>
      </c>
      <c r="E868" s="2" t="s">
        <v>27</v>
      </c>
      <c r="F868" s="2">
        <v>7</v>
      </c>
      <c r="G868" s="15">
        <v>939.69</v>
      </c>
      <c r="H868" s="15">
        <v>6577.83</v>
      </c>
      <c r="I868" s="2">
        <v>15</v>
      </c>
      <c r="J868" s="15">
        <v>5591.16</v>
      </c>
    </row>
    <row r="869" spans="1:10" x14ac:dyDescent="0.3">
      <c r="A869" s="2" t="s">
        <v>900</v>
      </c>
      <c r="B869" s="3">
        <v>46152</v>
      </c>
      <c r="C869" s="2" t="s">
        <v>18</v>
      </c>
      <c r="D869" s="2" t="s">
        <v>44</v>
      </c>
      <c r="E869" s="2" t="s">
        <v>30</v>
      </c>
      <c r="F869" s="2">
        <v>17</v>
      </c>
      <c r="G869" s="15">
        <v>449.92</v>
      </c>
      <c r="H869" s="15">
        <v>7648.64</v>
      </c>
      <c r="I869" s="2">
        <v>5</v>
      </c>
      <c r="J869" s="15">
        <v>7266.21</v>
      </c>
    </row>
    <row r="870" spans="1:10" x14ac:dyDescent="0.3">
      <c r="A870" s="2" t="s">
        <v>901</v>
      </c>
      <c r="B870" s="3">
        <v>45850</v>
      </c>
      <c r="C870" s="2" t="s">
        <v>15</v>
      </c>
      <c r="D870" s="2" t="s">
        <v>16</v>
      </c>
      <c r="E870" s="2" t="s">
        <v>30</v>
      </c>
      <c r="F870" s="2">
        <v>9</v>
      </c>
      <c r="G870" s="15">
        <v>309.49</v>
      </c>
      <c r="H870" s="15">
        <v>2785.41</v>
      </c>
      <c r="I870" s="2">
        <v>5</v>
      </c>
      <c r="J870" s="15">
        <v>2646.14</v>
      </c>
    </row>
    <row r="871" spans="1:10" x14ac:dyDescent="0.3">
      <c r="A871" s="2" t="s">
        <v>902</v>
      </c>
      <c r="B871" s="3">
        <v>46002</v>
      </c>
      <c r="C871" s="2" t="s">
        <v>11</v>
      </c>
      <c r="D871" s="2" t="s">
        <v>29</v>
      </c>
      <c r="E871" s="2" t="s">
        <v>27</v>
      </c>
      <c r="F871" s="2">
        <v>17</v>
      </c>
      <c r="G871" s="15">
        <v>458.35</v>
      </c>
      <c r="H871" s="15">
        <v>7791.95</v>
      </c>
      <c r="I871" s="2">
        <v>10</v>
      </c>
      <c r="J871" s="15">
        <v>7012.76</v>
      </c>
    </row>
    <row r="872" spans="1:10" x14ac:dyDescent="0.3">
      <c r="A872" s="2" t="s">
        <v>903</v>
      </c>
      <c r="B872" s="3">
        <v>45876</v>
      </c>
      <c r="C872" s="2" t="s">
        <v>22</v>
      </c>
      <c r="D872" s="2" t="s">
        <v>19</v>
      </c>
      <c r="E872" s="2" t="s">
        <v>76</v>
      </c>
      <c r="F872" s="2">
        <v>19</v>
      </c>
      <c r="G872" s="15">
        <v>477.77</v>
      </c>
      <c r="H872" s="15">
        <v>9077.6299999999992</v>
      </c>
      <c r="I872" s="2">
        <v>20</v>
      </c>
      <c r="J872" s="15">
        <v>7262.1</v>
      </c>
    </row>
    <row r="873" spans="1:10" x14ac:dyDescent="0.3">
      <c r="A873" s="2" t="s">
        <v>904</v>
      </c>
      <c r="B873" s="3">
        <v>46120</v>
      </c>
      <c r="C873" s="2" t="s">
        <v>18</v>
      </c>
      <c r="D873" s="2" t="s">
        <v>52</v>
      </c>
      <c r="E873" s="2" t="s">
        <v>30</v>
      </c>
      <c r="F873" s="2">
        <v>13</v>
      </c>
      <c r="G873" s="15">
        <v>742.76</v>
      </c>
      <c r="H873" s="15">
        <v>9655.8799999999992</v>
      </c>
      <c r="I873" s="2">
        <v>10</v>
      </c>
      <c r="J873" s="15">
        <v>8690.2900000000009</v>
      </c>
    </row>
    <row r="874" spans="1:10" x14ac:dyDescent="0.3">
      <c r="A874" s="2" t="s">
        <v>905</v>
      </c>
      <c r="B874" s="3">
        <v>45840</v>
      </c>
      <c r="C874" s="2" t="s">
        <v>22</v>
      </c>
      <c r="D874" s="2" t="s">
        <v>52</v>
      </c>
      <c r="E874" s="2" t="s">
        <v>27</v>
      </c>
      <c r="F874" s="2">
        <v>16</v>
      </c>
      <c r="G874" s="15">
        <v>791.66</v>
      </c>
      <c r="H874" s="15">
        <v>12666.56</v>
      </c>
      <c r="I874" s="2">
        <v>0</v>
      </c>
      <c r="J874" s="15">
        <v>12666.56</v>
      </c>
    </row>
    <row r="875" spans="1:10" x14ac:dyDescent="0.3">
      <c r="A875" s="2" t="s">
        <v>906</v>
      </c>
      <c r="B875" s="3">
        <v>45881</v>
      </c>
      <c r="C875" s="2" t="s">
        <v>15</v>
      </c>
      <c r="D875" s="2" t="s">
        <v>44</v>
      </c>
      <c r="E875" s="2" t="s">
        <v>33</v>
      </c>
      <c r="F875" s="2">
        <v>1</v>
      </c>
      <c r="G875" s="15">
        <v>940.83</v>
      </c>
      <c r="H875" s="15">
        <v>940.83</v>
      </c>
      <c r="I875" s="2">
        <v>5</v>
      </c>
      <c r="J875" s="15">
        <v>893.79</v>
      </c>
    </row>
    <row r="876" spans="1:10" x14ac:dyDescent="0.3">
      <c r="A876" s="2" t="s">
        <v>907</v>
      </c>
      <c r="B876" s="3">
        <v>46108</v>
      </c>
      <c r="C876" s="2" t="s">
        <v>11</v>
      </c>
      <c r="D876" s="2" t="s">
        <v>19</v>
      </c>
      <c r="E876" s="2" t="s">
        <v>39</v>
      </c>
      <c r="F876" s="2">
        <v>4</v>
      </c>
      <c r="G876" s="15">
        <v>198.49</v>
      </c>
      <c r="H876" s="15">
        <v>793.96</v>
      </c>
      <c r="I876" s="2">
        <v>5</v>
      </c>
      <c r="J876" s="15">
        <v>754.26</v>
      </c>
    </row>
    <row r="877" spans="1:10" x14ac:dyDescent="0.3">
      <c r="A877" s="2" t="s">
        <v>908</v>
      </c>
      <c r="B877" s="3">
        <v>45863</v>
      </c>
      <c r="C877" s="2" t="s">
        <v>18</v>
      </c>
      <c r="D877" s="2" t="s">
        <v>44</v>
      </c>
      <c r="E877" s="2" t="s">
        <v>13</v>
      </c>
      <c r="F877" s="2">
        <v>14</v>
      </c>
      <c r="G877" s="15">
        <v>76.09</v>
      </c>
      <c r="H877" s="15">
        <v>1065.26</v>
      </c>
      <c r="I877" s="2">
        <v>0</v>
      </c>
      <c r="J877" s="15">
        <v>1065.26</v>
      </c>
    </row>
    <row r="878" spans="1:10" x14ac:dyDescent="0.3">
      <c r="A878" s="2" t="s">
        <v>909</v>
      </c>
      <c r="B878" s="3">
        <v>45806</v>
      </c>
      <c r="C878" s="2" t="s">
        <v>11</v>
      </c>
      <c r="D878" s="2" t="s">
        <v>26</v>
      </c>
      <c r="E878" s="2" t="s">
        <v>37</v>
      </c>
      <c r="F878" s="2">
        <v>7</v>
      </c>
      <c r="G878" s="15">
        <v>972.23</v>
      </c>
      <c r="H878" s="15">
        <v>6805.61</v>
      </c>
      <c r="I878" s="2">
        <v>20</v>
      </c>
      <c r="J878" s="15">
        <v>5444.49</v>
      </c>
    </row>
    <row r="879" spans="1:10" x14ac:dyDescent="0.3">
      <c r="A879" s="2" t="s">
        <v>910</v>
      </c>
      <c r="B879" s="3">
        <v>46038</v>
      </c>
      <c r="C879" s="2" t="s">
        <v>22</v>
      </c>
      <c r="D879" s="2" t="s">
        <v>32</v>
      </c>
      <c r="E879" s="2" t="s">
        <v>13</v>
      </c>
      <c r="F879" s="2">
        <v>9</v>
      </c>
      <c r="G879" s="15">
        <v>812.29</v>
      </c>
      <c r="H879" s="15">
        <v>7310.61</v>
      </c>
      <c r="I879" s="2">
        <v>5</v>
      </c>
      <c r="J879" s="15">
        <v>6945.08</v>
      </c>
    </row>
    <row r="880" spans="1:10" x14ac:dyDescent="0.3">
      <c r="A880" s="2" t="s">
        <v>911</v>
      </c>
      <c r="B880" s="3">
        <v>46007</v>
      </c>
      <c r="C880" s="2" t="s">
        <v>11</v>
      </c>
      <c r="D880" s="2" t="s">
        <v>29</v>
      </c>
      <c r="E880" s="2" t="s">
        <v>76</v>
      </c>
      <c r="F880" s="2">
        <v>13</v>
      </c>
      <c r="G880" s="15">
        <v>343.42</v>
      </c>
      <c r="H880" s="15">
        <v>4464.46</v>
      </c>
      <c r="I880" s="2">
        <v>5</v>
      </c>
      <c r="J880" s="15">
        <v>4241.24</v>
      </c>
    </row>
    <row r="881" spans="1:10" x14ac:dyDescent="0.3">
      <c r="A881" s="2" t="s">
        <v>912</v>
      </c>
      <c r="B881" s="3">
        <v>46154</v>
      </c>
      <c r="C881" s="2" t="s">
        <v>15</v>
      </c>
      <c r="D881" s="2" t="s">
        <v>26</v>
      </c>
      <c r="E881" s="2" t="s">
        <v>13</v>
      </c>
      <c r="F881" s="2">
        <v>4</v>
      </c>
      <c r="G881" s="15">
        <v>625.42999999999995</v>
      </c>
      <c r="H881" s="15">
        <v>2501.7199999999998</v>
      </c>
      <c r="I881" s="2">
        <v>5</v>
      </c>
      <c r="J881" s="15">
        <v>2376.63</v>
      </c>
    </row>
    <row r="882" spans="1:10" x14ac:dyDescent="0.3">
      <c r="A882" s="2" t="s">
        <v>913</v>
      </c>
      <c r="B882" s="3">
        <v>45948</v>
      </c>
      <c r="C882" s="2" t="s">
        <v>22</v>
      </c>
      <c r="D882" s="2" t="s">
        <v>44</v>
      </c>
      <c r="E882" s="2" t="s">
        <v>30</v>
      </c>
      <c r="F882" s="2">
        <v>8</v>
      </c>
      <c r="G882" s="15">
        <v>565.28</v>
      </c>
      <c r="H882" s="15">
        <v>4522.24</v>
      </c>
      <c r="I882" s="2">
        <v>20</v>
      </c>
      <c r="J882" s="15">
        <v>3617.79</v>
      </c>
    </row>
    <row r="883" spans="1:10" x14ac:dyDescent="0.3">
      <c r="A883" s="2" t="s">
        <v>914</v>
      </c>
      <c r="B883" s="3">
        <v>46157</v>
      </c>
      <c r="C883" s="2" t="s">
        <v>22</v>
      </c>
      <c r="D883" s="2" t="s">
        <v>44</v>
      </c>
      <c r="E883" s="2" t="s">
        <v>27</v>
      </c>
      <c r="F883" s="2">
        <v>10</v>
      </c>
      <c r="G883" s="15">
        <v>188.63</v>
      </c>
      <c r="H883" s="15">
        <v>1886.3</v>
      </c>
      <c r="I883" s="2">
        <v>20</v>
      </c>
      <c r="J883" s="15">
        <v>1509.04</v>
      </c>
    </row>
    <row r="884" spans="1:10" x14ac:dyDescent="0.3">
      <c r="A884" s="2" t="s">
        <v>915</v>
      </c>
      <c r="B884" s="3">
        <v>45898</v>
      </c>
      <c r="C884" s="2" t="s">
        <v>18</v>
      </c>
      <c r="D884" s="2" t="s">
        <v>44</v>
      </c>
      <c r="E884" s="2" t="s">
        <v>27</v>
      </c>
      <c r="F884" s="2">
        <v>14</v>
      </c>
      <c r="G884" s="15">
        <v>160.82</v>
      </c>
      <c r="H884" s="15">
        <v>2251.48</v>
      </c>
      <c r="I884" s="2">
        <v>20</v>
      </c>
      <c r="J884" s="15">
        <v>1801.18</v>
      </c>
    </row>
    <row r="885" spans="1:10" x14ac:dyDescent="0.3">
      <c r="A885" s="2" t="s">
        <v>916</v>
      </c>
      <c r="B885" s="3">
        <v>46151</v>
      </c>
      <c r="C885" s="2" t="s">
        <v>18</v>
      </c>
      <c r="D885" s="2" t="s">
        <v>26</v>
      </c>
      <c r="E885" s="2" t="s">
        <v>39</v>
      </c>
      <c r="F885" s="2">
        <v>13</v>
      </c>
      <c r="G885" s="15">
        <v>843.04</v>
      </c>
      <c r="H885" s="15">
        <v>10959.52</v>
      </c>
      <c r="I885" s="2">
        <v>5</v>
      </c>
      <c r="J885" s="15">
        <v>10411.540000000001</v>
      </c>
    </row>
    <row r="886" spans="1:10" x14ac:dyDescent="0.3">
      <c r="A886" s="2" t="s">
        <v>917</v>
      </c>
      <c r="B886" s="3">
        <v>45926</v>
      </c>
      <c r="C886" s="2" t="s">
        <v>22</v>
      </c>
      <c r="D886" s="2" t="s">
        <v>60</v>
      </c>
      <c r="E886" s="2" t="s">
        <v>13</v>
      </c>
      <c r="F886" s="2">
        <v>14</v>
      </c>
      <c r="G886" s="15">
        <v>678.92</v>
      </c>
      <c r="H886" s="15">
        <v>9504.8799999999992</v>
      </c>
      <c r="I886" s="2">
        <v>10</v>
      </c>
      <c r="J886" s="15">
        <v>8554.39</v>
      </c>
    </row>
    <row r="887" spans="1:10" x14ac:dyDescent="0.3">
      <c r="A887" s="2" t="s">
        <v>918</v>
      </c>
      <c r="B887" s="3">
        <v>46045</v>
      </c>
      <c r="C887" s="2" t="s">
        <v>11</v>
      </c>
      <c r="D887" s="2" t="s">
        <v>32</v>
      </c>
      <c r="E887" s="2" t="s">
        <v>87</v>
      </c>
      <c r="F887" s="2">
        <v>6</v>
      </c>
      <c r="G887" s="15">
        <v>335.44</v>
      </c>
      <c r="H887" s="15">
        <v>2012.64</v>
      </c>
      <c r="I887" s="2">
        <v>0</v>
      </c>
      <c r="J887" s="15">
        <v>2012.64</v>
      </c>
    </row>
    <row r="888" spans="1:10" x14ac:dyDescent="0.3">
      <c r="A888" s="2" t="s">
        <v>919</v>
      </c>
      <c r="B888" s="3">
        <v>46021</v>
      </c>
      <c r="C888" s="2" t="s">
        <v>22</v>
      </c>
      <c r="D888" s="2" t="s">
        <v>52</v>
      </c>
      <c r="E888" s="2" t="s">
        <v>37</v>
      </c>
      <c r="F888" s="2">
        <v>3</v>
      </c>
      <c r="G888" s="15">
        <v>906.61</v>
      </c>
      <c r="H888" s="15">
        <v>2719.83</v>
      </c>
      <c r="I888" s="2">
        <v>0</v>
      </c>
      <c r="J888" s="15">
        <v>2719.83</v>
      </c>
    </row>
    <row r="889" spans="1:10" x14ac:dyDescent="0.3">
      <c r="A889" s="2" t="s">
        <v>920</v>
      </c>
      <c r="B889" s="3">
        <v>46099</v>
      </c>
      <c r="C889" s="2" t="s">
        <v>11</v>
      </c>
      <c r="D889" s="2" t="s">
        <v>44</v>
      </c>
      <c r="E889" s="2" t="s">
        <v>30</v>
      </c>
      <c r="F889" s="2">
        <v>12</v>
      </c>
      <c r="G889" s="15">
        <v>915.14</v>
      </c>
      <c r="H889" s="15">
        <v>10981.68</v>
      </c>
      <c r="I889" s="2">
        <v>5</v>
      </c>
      <c r="J889" s="15">
        <v>10432.6</v>
      </c>
    </row>
    <row r="890" spans="1:10" x14ac:dyDescent="0.3">
      <c r="A890" s="2" t="s">
        <v>921</v>
      </c>
      <c r="B890" s="3">
        <v>45835</v>
      </c>
      <c r="C890" s="2" t="s">
        <v>11</v>
      </c>
      <c r="D890" s="2" t="s">
        <v>16</v>
      </c>
      <c r="E890" s="2" t="s">
        <v>76</v>
      </c>
      <c r="F890" s="2">
        <v>5</v>
      </c>
      <c r="G890" s="15">
        <v>979.21</v>
      </c>
      <c r="H890" s="15">
        <v>4896.05</v>
      </c>
      <c r="I890" s="2">
        <v>5</v>
      </c>
      <c r="J890" s="15">
        <v>4651.25</v>
      </c>
    </row>
    <row r="891" spans="1:10" x14ac:dyDescent="0.3">
      <c r="A891" s="2" t="s">
        <v>922</v>
      </c>
      <c r="B891" s="3">
        <v>45968</v>
      </c>
      <c r="C891" s="2" t="s">
        <v>11</v>
      </c>
      <c r="D891" s="2" t="s">
        <v>12</v>
      </c>
      <c r="E891" s="2" t="s">
        <v>30</v>
      </c>
      <c r="F891" s="2">
        <v>9</v>
      </c>
      <c r="G891" s="15">
        <v>613.59</v>
      </c>
      <c r="H891" s="15">
        <v>5522.31</v>
      </c>
      <c r="I891" s="2">
        <v>10</v>
      </c>
      <c r="J891" s="15">
        <v>4970.08</v>
      </c>
    </row>
    <row r="892" spans="1:10" x14ac:dyDescent="0.3">
      <c r="A892" s="2" t="s">
        <v>923</v>
      </c>
      <c r="B892" s="3">
        <v>46128</v>
      </c>
      <c r="C892" s="2" t="s">
        <v>15</v>
      </c>
      <c r="D892" s="2" t="s">
        <v>26</v>
      </c>
      <c r="E892" s="2" t="s">
        <v>76</v>
      </c>
      <c r="F892" s="2">
        <v>18</v>
      </c>
      <c r="G892" s="15">
        <v>960.94</v>
      </c>
      <c r="H892" s="15">
        <v>17296.919999999998</v>
      </c>
      <c r="I892" s="2">
        <v>20</v>
      </c>
      <c r="J892" s="15">
        <v>13837.54</v>
      </c>
    </row>
    <row r="893" spans="1:10" x14ac:dyDescent="0.3">
      <c r="A893" s="2" t="s">
        <v>924</v>
      </c>
      <c r="B893" s="3">
        <v>46044</v>
      </c>
      <c r="C893" s="2" t="s">
        <v>15</v>
      </c>
      <c r="D893" s="2" t="s">
        <v>60</v>
      </c>
      <c r="E893" s="2" t="s">
        <v>39</v>
      </c>
      <c r="F893" s="2">
        <v>9</v>
      </c>
      <c r="G893" s="15">
        <v>635.97</v>
      </c>
      <c r="H893" s="15">
        <v>5723.73</v>
      </c>
      <c r="I893" s="2">
        <v>10</v>
      </c>
      <c r="J893" s="15">
        <v>5151.3599999999997</v>
      </c>
    </row>
    <row r="894" spans="1:10" x14ac:dyDescent="0.3">
      <c r="A894" s="2" t="s">
        <v>925</v>
      </c>
      <c r="B894" s="3">
        <v>46135</v>
      </c>
      <c r="C894" s="2" t="s">
        <v>15</v>
      </c>
      <c r="D894" s="2" t="s">
        <v>52</v>
      </c>
      <c r="E894" s="2" t="s">
        <v>13</v>
      </c>
      <c r="F894" s="2">
        <v>2</v>
      </c>
      <c r="G894" s="15">
        <v>735.9</v>
      </c>
      <c r="H894" s="15">
        <v>1471.8</v>
      </c>
      <c r="I894" s="2">
        <v>0</v>
      </c>
      <c r="J894" s="15">
        <v>1471.8</v>
      </c>
    </row>
    <row r="895" spans="1:10" x14ac:dyDescent="0.3">
      <c r="A895" s="2" t="s">
        <v>926</v>
      </c>
      <c r="B895" s="3">
        <v>46115</v>
      </c>
      <c r="C895" s="2" t="s">
        <v>22</v>
      </c>
      <c r="D895" s="2" t="s">
        <v>52</v>
      </c>
      <c r="E895" s="2" t="s">
        <v>24</v>
      </c>
      <c r="F895" s="2">
        <v>5</v>
      </c>
      <c r="G895" s="15">
        <v>64.56</v>
      </c>
      <c r="H895" s="15">
        <v>322.8</v>
      </c>
      <c r="I895" s="2">
        <v>5</v>
      </c>
      <c r="J895" s="15">
        <v>306.66000000000003</v>
      </c>
    </row>
    <row r="896" spans="1:10" x14ac:dyDescent="0.3">
      <c r="A896" s="2" t="s">
        <v>927</v>
      </c>
      <c r="B896" s="3">
        <v>46060</v>
      </c>
      <c r="C896" s="2" t="s">
        <v>22</v>
      </c>
      <c r="D896" s="2" t="s">
        <v>60</v>
      </c>
      <c r="E896" s="2" t="s">
        <v>30</v>
      </c>
      <c r="F896" s="2">
        <v>4</v>
      </c>
      <c r="G896" s="15">
        <v>832</v>
      </c>
      <c r="H896" s="15">
        <v>3328</v>
      </c>
      <c r="I896" s="2">
        <v>20</v>
      </c>
      <c r="J896" s="15">
        <v>2662.4</v>
      </c>
    </row>
    <row r="897" spans="1:10" x14ac:dyDescent="0.3">
      <c r="A897" s="2" t="s">
        <v>928</v>
      </c>
      <c r="B897" s="3">
        <v>46077</v>
      </c>
      <c r="C897" s="2" t="s">
        <v>22</v>
      </c>
      <c r="D897" s="2" t="s">
        <v>16</v>
      </c>
      <c r="E897" s="2" t="s">
        <v>13</v>
      </c>
      <c r="F897" s="2">
        <v>18</v>
      </c>
      <c r="G897" s="15">
        <v>983.79</v>
      </c>
      <c r="H897" s="15">
        <v>17708.22</v>
      </c>
      <c r="I897" s="2">
        <v>15</v>
      </c>
      <c r="J897" s="15">
        <v>15051.99</v>
      </c>
    </row>
    <row r="898" spans="1:10" x14ac:dyDescent="0.3">
      <c r="A898" s="2" t="s">
        <v>929</v>
      </c>
      <c r="B898" s="3">
        <v>45814</v>
      </c>
      <c r="C898" s="2" t="s">
        <v>11</v>
      </c>
      <c r="D898" s="2" t="s">
        <v>60</v>
      </c>
      <c r="E898" s="2" t="s">
        <v>39</v>
      </c>
      <c r="F898" s="2">
        <v>12</v>
      </c>
      <c r="G898" s="15">
        <v>997.69</v>
      </c>
      <c r="H898" s="15">
        <v>11972.28</v>
      </c>
      <c r="I898" s="2">
        <v>0</v>
      </c>
      <c r="J898" s="15">
        <v>11972.28</v>
      </c>
    </row>
    <row r="899" spans="1:10" x14ac:dyDescent="0.3">
      <c r="A899" s="2" t="s">
        <v>930</v>
      </c>
      <c r="B899" s="3">
        <v>46133</v>
      </c>
      <c r="C899" s="2" t="s">
        <v>15</v>
      </c>
      <c r="D899" s="2" t="s">
        <v>12</v>
      </c>
      <c r="E899" s="2" t="s">
        <v>33</v>
      </c>
      <c r="F899" s="2">
        <v>9</v>
      </c>
      <c r="G899" s="15">
        <v>341.24</v>
      </c>
      <c r="H899" s="15">
        <v>3071.16</v>
      </c>
      <c r="I899" s="2">
        <v>0</v>
      </c>
      <c r="J899" s="15">
        <v>3071.16</v>
      </c>
    </row>
    <row r="900" spans="1:10" x14ac:dyDescent="0.3">
      <c r="A900" s="2" t="s">
        <v>931</v>
      </c>
      <c r="B900" s="3">
        <v>45971</v>
      </c>
      <c r="C900" s="2" t="s">
        <v>11</v>
      </c>
      <c r="D900" s="2" t="s">
        <v>12</v>
      </c>
      <c r="E900" s="2" t="s">
        <v>13</v>
      </c>
      <c r="F900" s="2">
        <v>7</v>
      </c>
      <c r="G900" s="15">
        <v>800.34</v>
      </c>
      <c r="H900" s="15">
        <v>5602.38</v>
      </c>
      <c r="I900" s="2">
        <v>5</v>
      </c>
      <c r="J900" s="15">
        <v>5322.26</v>
      </c>
    </row>
    <row r="901" spans="1:10" x14ac:dyDescent="0.3">
      <c r="A901" s="2" t="s">
        <v>932</v>
      </c>
      <c r="B901" s="3">
        <v>46084</v>
      </c>
      <c r="C901" s="2" t="s">
        <v>18</v>
      </c>
      <c r="D901" s="2" t="s">
        <v>44</v>
      </c>
      <c r="E901" s="2" t="s">
        <v>37</v>
      </c>
      <c r="F901" s="2">
        <v>17</v>
      </c>
      <c r="G901" s="15">
        <v>379.36</v>
      </c>
      <c r="H901" s="15">
        <v>6449.12</v>
      </c>
      <c r="I901" s="2">
        <v>5</v>
      </c>
      <c r="J901" s="15">
        <v>6126.66</v>
      </c>
    </row>
    <row r="902" spans="1:10" x14ac:dyDescent="0.3">
      <c r="A902" s="2" t="s">
        <v>933</v>
      </c>
      <c r="B902" s="3">
        <v>46119</v>
      </c>
      <c r="C902" s="2" t="s">
        <v>18</v>
      </c>
      <c r="D902" s="2" t="s">
        <v>26</v>
      </c>
      <c r="E902" s="2" t="s">
        <v>39</v>
      </c>
      <c r="F902" s="2">
        <v>13</v>
      </c>
      <c r="G902" s="15">
        <v>132.4</v>
      </c>
      <c r="H902" s="15">
        <v>1721.2</v>
      </c>
      <c r="I902" s="2">
        <v>0</v>
      </c>
      <c r="J902" s="15">
        <v>1721.2</v>
      </c>
    </row>
    <row r="903" spans="1:10" x14ac:dyDescent="0.3">
      <c r="A903" s="2" t="s">
        <v>934</v>
      </c>
      <c r="B903" s="3">
        <v>46030</v>
      </c>
      <c r="C903" s="2" t="s">
        <v>15</v>
      </c>
      <c r="D903" s="2" t="s">
        <v>60</v>
      </c>
      <c r="E903" s="2" t="s">
        <v>20</v>
      </c>
      <c r="F903" s="2">
        <v>16</v>
      </c>
      <c r="G903" s="15">
        <v>938.58</v>
      </c>
      <c r="H903" s="15">
        <v>15017.28</v>
      </c>
      <c r="I903" s="2">
        <v>20</v>
      </c>
      <c r="J903" s="15">
        <v>12013.82</v>
      </c>
    </row>
    <row r="904" spans="1:10" x14ac:dyDescent="0.3">
      <c r="A904" s="2" t="s">
        <v>935</v>
      </c>
      <c r="B904" s="3">
        <v>46046</v>
      </c>
      <c r="C904" s="2" t="s">
        <v>22</v>
      </c>
      <c r="D904" s="2" t="s">
        <v>16</v>
      </c>
      <c r="E904" s="2" t="s">
        <v>76</v>
      </c>
      <c r="F904" s="2">
        <v>11</v>
      </c>
      <c r="G904" s="15">
        <v>467.14</v>
      </c>
      <c r="H904" s="15">
        <v>5138.54</v>
      </c>
      <c r="I904" s="2">
        <v>10</v>
      </c>
      <c r="J904" s="15">
        <v>4624.6899999999996</v>
      </c>
    </row>
    <row r="905" spans="1:10" x14ac:dyDescent="0.3">
      <c r="A905" s="2" t="s">
        <v>936</v>
      </c>
      <c r="B905" s="3">
        <v>46046</v>
      </c>
      <c r="C905" s="2" t="s">
        <v>15</v>
      </c>
      <c r="D905" s="2" t="s">
        <v>60</v>
      </c>
      <c r="E905" s="2" t="s">
        <v>33</v>
      </c>
      <c r="F905" s="2">
        <v>13</v>
      </c>
      <c r="G905" s="15">
        <v>98.74</v>
      </c>
      <c r="H905" s="15">
        <v>1283.6199999999999</v>
      </c>
      <c r="I905" s="2">
        <v>0</v>
      </c>
      <c r="J905" s="15">
        <v>1283.6199999999999</v>
      </c>
    </row>
    <row r="906" spans="1:10" x14ac:dyDescent="0.3">
      <c r="A906" s="2" t="s">
        <v>937</v>
      </c>
      <c r="B906" s="3">
        <v>45989</v>
      </c>
      <c r="C906" s="2" t="s">
        <v>18</v>
      </c>
      <c r="D906" s="2" t="s">
        <v>23</v>
      </c>
      <c r="E906" s="2" t="s">
        <v>24</v>
      </c>
      <c r="F906" s="2">
        <v>5</v>
      </c>
      <c r="G906" s="15">
        <v>623.79</v>
      </c>
      <c r="H906" s="15">
        <v>3118.95</v>
      </c>
      <c r="I906" s="2">
        <v>0</v>
      </c>
      <c r="J906" s="15">
        <v>3118.95</v>
      </c>
    </row>
    <row r="907" spans="1:10" x14ac:dyDescent="0.3">
      <c r="A907" s="2" t="s">
        <v>938</v>
      </c>
      <c r="B907" s="3">
        <v>45974</v>
      </c>
      <c r="C907" s="2" t="s">
        <v>18</v>
      </c>
      <c r="D907" s="2" t="s">
        <v>44</v>
      </c>
      <c r="E907" s="2" t="s">
        <v>20</v>
      </c>
      <c r="F907" s="2">
        <v>17</v>
      </c>
      <c r="G907" s="15">
        <v>543.30999999999995</v>
      </c>
      <c r="H907" s="15">
        <v>9236.27</v>
      </c>
      <c r="I907" s="2">
        <v>5</v>
      </c>
      <c r="J907" s="15">
        <v>8774.4599999999991</v>
      </c>
    </row>
    <row r="908" spans="1:10" x14ac:dyDescent="0.3">
      <c r="A908" s="2" t="s">
        <v>939</v>
      </c>
      <c r="B908" s="3">
        <v>46112</v>
      </c>
      <c r="C908" s="2" t="s">
        <v>15</v>
      </c>
      <c r="D908" s="2" t="s">
        <v>23</v>
      </c>
      <c r="E908" s="2" t="s">
        <v>37</v>
      </c>
      <c r="F908" s="2">
        <v>2</v>
      </c>
      <c r="G908" s="15">
        <v>90.17</v>
      </c>
      <c r="H908" s="15">
        <v>180.34</v>
      </c>
      <c r="I908" s="2">
        <v>0</v>
      </c>
      <c r="J908" s="15">
        <v>180.34</v>
      </c>
    </row>
    <row r="909" spans="1:10" x14ac:dyDescent="0.3">
      <c r="A909" s="2" t="s">
        <v>940</v>
      </c>
      <c r="B909" s="3">
        <v>45877</v>
      </c>
      <c r="C909" s="2" t="s">
        <v>11</v>
      </c>
      <c r="D909" s="2" t="s">
        <v>12</v>
      </c>
      <c r="E909" s="2" t="s">
        <v>76</v>
      </c>
      <c r="F909" s="2">
        <v>16</v>
      </c>
      <c r="G909" s="15">
        <v>347.1</v>
      </c>
      <c r="H909" s="15">
        <v>5553.6</v>
      </c>
      <c r="I909" s="2">
        <v>0</v>
      </c>
      <c r="J909" s="15">
        <v>5553.6</v>
      </c>
    </row>
    <row r="910" spans="1:10" x14ac:dyDescent="0.3">
      <c r="A910" s="2" t="s">
        <v>941</v>
      </c>
      <c r="B910" s="3">
        <v>46123</v>
      </c>
      <c r="C910" s="2" t="s">
        <v>11</v>
      </c>
      <c r="D910" s="2" t="s">
        <v>44</v>
      </c>
      <c r="E910" s="2" t="s">
        <v>20</v>
      </c>
      <c r="F910" s="2">
        <v>12</v>
      </c>
      <c r="G910" s="15">
        <v>518.75</v>
      </c>
      <c r="H910" s="15">
        <v>6225</v>
      </c>
      <c r="I910" s="2">
        <v>10</v>
      </c>
      <c r="J910" s="15">
        <v>5602.5</v>
      </c>
    </row>
    <row r="911" spans="1:10" x14ac:dyDescent="0.3">
      <c r="A911" s="2" t="s">
        <v>942</v>
      </c>
      <c r="B911" s="3">
        <v>45894</v>
      </c>
      <c r="C911" s="2" t="s">
        <v>15</v>
      </c>
      <c r="D911" s="2" t="s">
        <v>32</v>
      </c>
      <c r="E911" s="2" t="s">
        <v>76</v>
      </c>
      <c r="F911" s="2">
        <v>19</v>
      </c>
      <c r="G911" s="15">
        <v>537.30999999999995</v>
      </c>
      <c r="H911" s="15">
        <v>10208.89</v>
      </c>
      <c r="I911" s="2">
        <v>20</v>
      </c>
      <c r="J911" s="15">
        <v>8167.11</v>
      </c>
    </row>
    <row r="912" spans="1:10" x14ac:dyDescent="0.3">
      <c r="A912" s="2" t="s">
        <v>943</v>
      </c>
      <c r="B912" s="3">
        <v>46005</v>
      </c>
      <c r="C912" s="2" t="s">
        <v>15</v>
      </c>
      <c r="D912" s="2" t="s">
        <v>29</v>
      </c>
      <c r="E912" s="2" t="s">
        <v>20</v>
      </c>
      <c r="F912" s="2">
        <v>5</v>
      </c>
      <c r="G912" s="15">
        <v>899.26</v>
      </c>
      <c r="H912" s="15">
        <v>4496.3</v>
      </c>
      <c r="I912" s="2">
        <v>5</v>
      </c>
      <c r="J912" s="15">
        <v>4271.49</v>
      </c>
    </row>
    <row r="913" spans="1:10" x14ac:dyDescent="0.3">
      <c r="A913" s="2" t="s">
        <v>944</v>
      </c>
      <c r="B913" s="3">
        <v>46088</v>
      </c>
      <c r="C913" s="2" t="s">
        <v>11</v>
      </c>
      <c r="D913" s="2" t="s">
        <v>29</v>
      </c>
      <c r="E913" s="2" t="s">
        <v>30</v>
      </c>
      <c r="F913" s="2">
        <v>17</v>
      </c>
      <c r="G913" s="15">
        <v>457.69</v>
      </c>
      <c r="H913" s="15">
        <v>7780.73</v>
      </c>
      <c r="I913" s="2">
        <v>20</v>
      </c>
      <c r="J913" s="15">
        <v>6224.58</v>
      </c>
    </row>
    <row r="914" spans="1:10" x14ac:dyDescent="0.3">
      <c r="A914" s="2" t="s">
        <v>945</v>
      </c>
      <c r="B914" s="3">
        <v>46092</v>
      </c>
      <c r="C914" s="2" t="s">
        <v>22</v>
      </c>
      <c r="D914" s="2" t="s">
        <v>16</v>
      </c>
      <c r="E914" s="2" t="s">
        <v>87</v>
      </c>
      <c r="F914" s="2">
        <v>9</v>
      </c>
      <c r="G914" s="15">
        <v>397.49</v>
      </c>
      <c r="H914" s="15">
        <v>3577.41</v>
      </c>
      <c r="I914" s="2">
        <v>15</v>
      </c>
      <c r="J914" s="15">
        <v>3040.8</v>
      </c>
    </row>
    <row r="915" spans="1:10" x14ac:dyDescent="0.3">
      <c r="A915" s="2" t="s">
        <v>946</v>
      </c>
      <c r="B915" s="3">
        <v>45818</v>
      </c>
      <c r="C915" s="2" t="s">
        <v>15</v>
      </c>
      <c r="D915" s="2" t="s">
        <v>16</v>
      </c>
      <c r="E915" s="2" t="s">
        <v>76</v>
      </c>
      <c r="F915" s="2">
        <v>18</v>
      </c>
      <c r="G915" s="15">
        <v>376.12</v>
      </c>
      <c r="H915" s="15">
        <v>6770.16</v>
      </c>
      <c r="I915" s="2">
        <v>10</v>
      </c>
      <c r="J915" s="15">
        <v>6093.14</v>
      </c>
    </row>
    <row r="916" spans="1:10" x14ac:dyDescent="0.3">
      <c r="A916" s="2" t="s">
        <v>947</v>
      </c>
      <c r="B916" s="3">
        <v>46060</v>
      </c>
      <c r="C916" s="2" t="s">
        <v>18</v>
      </c>
      <c r="D916" s="2" t="s">
        <v>12</v>
      </c>
      <c r="E916" s="2" t="s">
        <v>76</v>
      </c>
      <c r="F916" s="2">
        <v>20</v>
      </c>
      <c r="G916" s="15">
        <v>287.24</v>
      </c>
      <c r="H916" s="15">
        <v>5744.8</v>
      </c>
      <c r="I916" s="2">
        <v>20</v>
      </c>
      <c r="J916" s="15">
        <v>4595.84</v>
      </c>
    </row>
    <row r="917" spans="1:10" x14ac:dyDescent="0.3">
      <c r="A917" s="2" t="s">
        <v>948</v>
      </c>
      <c r="B917" s="3">
        <v>45912</v>
      </c>
      <c r="C917" s="2" t="s">
        <v>11</v>
      </c>
      <c r="D917" s="2" t="s">
        <v>29</v>
      </c>
      <c r="E917" s="2" t="s">
        <v>27</v>
      </c>
      <c r="F917" s="2">
        <v>17</v>
      </c>
      <c r="G917" s="15">
        <v>688.55</v>
      </c>
      <c r="H917" s="15">
        <v>11705.35</v>
      </c>
      <c r="I917" s="2">
        <v>5</v>
      </c>
      <c r="J917" s="15">
        <v>11120.08</v>
      </c>
    </row>
    <row r="918" spans="1:10" x14ac:dyDescent="0.3">
      <c r="A918" s="2" t="s">
        <v>949</v>
      </c>
      <c r="B918" s="3">
        <v>45859</v>
      </c>
      <c r="C918" s="2" t="s">
        <v>11</v>
      </c>
      <c r="D918" s="2" t="s">
        <v>26</v>
      </c>
      <c r="E918" s="2" t="s">
        <v>87</v>
      </c>
      <c r="F918" s="2">
        <v>13</v>
      </c>
      <c r="G918" s="15">
        <v>802.9</v>
      </c>
      <c r="H918" s="15">
        <v>10437.700000000001</v>
      </c>
      <c r="I918" s="2">
        <v>20</v>
      </c>
      <c r="J918" s="15">
        <v>8350.16</v>
      </c>
    </row>
    <row r="919" spans="1:10" x14ac:dyDescent="0.3">
      <c r="A919" s="2" t="s">
        <v>950</v>
      </c>
      <c r="B919" s="3">
        <v>46147</v>
      </c>
      <c r="C919" s="2" t="s">
        <v>18</v>
      </c>
      <c r="D919" s="2" t="s">
        <v>52</v>
      </c>
      <c r="E919" s="2" t="s">
        <v>13</v>
      </c>
      <c r="F919" s="2">
        <v>16</v>
      </c>
      <c r="G919" s="15">
        <v>538.89</v>
      </c>
      <c r="H919" s="15">
        <v>8622.24</v>
      </c>
      <c r="I919" s="2">
        <v>10</v>
      </c>
      <c r="J919" s="15">
        <v>7760.02</v>
      </c>
    </row>
    <row r="920" spans="1:10" x14ac:dyDescent="0.3">
      <c r="A920" s="2" t="s">
        <v>951</v>
      </c>
      <c r="B920" s="3">
        <v>46092</v>
      </c>
      <c r="C920" s="2" t="s">
        <v>22</v>
      </c>
      <c r="D920" s="2" t="s">
        <v>26</v>
      </c>
      <c r="E920" s="2" t="s">
        <v>30</v>
      </c>
      <c r="F920" s="2">
        <v>19</v>
      </c>
      <c r="G920" s="15">
        <v>625.6</v>
      </c>
      <c r="H920" s="15">
        <v>11886.4</v>
      </c>
      <c r="I920" s="2">
        <v>5</v>
      </c>
      <c r="J920" s="15">
        <v>11292.08</v>
      </c>
    </row>
    <row r="921" spans="1:10" x14ac:dyDescent="0.3">
      <c r="A921" s="2" t="s">
        <v>952</v>
      </c>
      <c r="B921" s="3">
        <v>46120</v>
      </c>
      <c r="C921" s="2" t="s">
        <v>18</v>
      </c>
      <c r="D921" s="2" t="s">
        <v>26</v>
      </c>
      <c r="E921" s="2" t="s">
        <v>33</v>
      </c>
      <c r="F921" s="2">
        <v>15</v>
      </c>
      <c r="G921" s="15">
        <v>971.94</v>
      </c>
      <c r="H921" s="15">
        <v>14579.1</v>
      </c>
      <c r="I921" s="2">
        <v>0</v>
      </c>
      <c r="J921" s="15">
        <v>14579.1</v>
      </c>
    </row>
    <row r="922" spans="1:10" x14ac:dyDescent="0.3">
      <c r="A922" s="2" t="s">
        <v>953</v>
      </c>
      <c r="B922" s="3">
        <v>46079</v>
      </c>
      <c r="C922" s="2" t="s">
        <v>22</v>
      </c>
      <c r="D922" s="2" t="s">
        <v>44</v>
      </c>
      <c r="E922" s="2" t="s">
        <v>13</v>
      </c>
      <c r="F922" s="2">
        <v>13</v>
      </c>
      <c r="G922" s="15">
        <v>203.14</v>
      </c>
      <c r="H922" s="15">
        <v>2640.82</v>
      </c>
      <c r="I922" s="2">
        <v>10</v>
      </c>
      <c r="J922" s="15">
        <v>2376.7399999999998</v>
      </c>
    </row>
    <row r="923" spans="1:10" x14ac:dyDescent="0.3">
      <c r="A923" s="2" t="s">
        <v>954</v>
      </c>
      <c r="B923" s="3">
        <v>46071</v>
      </c>
      <c r="C923" s="2" t="s">
        <v>22</v>
      </c>
      <c r="D923" s="2" t="s">
        <v>16</v>
      </c>
      <c r="E923" s="2" t="s">
        <v>39</v>
      </c>
      <c r="F923" s="2">
        <v>19</v>
      </c>
      <c r="G923" s="15">
        <v>965.16</v>
      </c>
      <c r="H923" s="15">
        <v>18338.04</v>
      </c>
      <c r="I923" s="2">
        <v>20</v>
      </c>
      <c r="J923" s="15">
        <v>14670.43</v>
      </c>
    </row>
    <row r="924" spans="1:10" x14ac:dyDescent="0.3">
      <c r="A924" s="2" t="s">
        <v>955</v>
      </c>
      <c r="B924" s="3">
        <v>46039</v>
      </c>
      <c r="C924" s="2" t="s">
        <v>15</v>
      </c>
      <c r="D924" s="2" t="s">
        <v>16</v>
      </c>
      <c r="E924" s="2" t="s">
        <v>33</v>
      </c>
      <c r="F924" s="2">
        <v>14</v>
      </c>
      <c r="G924" s="15">
        <v>548.69000000000005</v>
      </c>
      <c r="H924" s="15">
        <v>7681.66</v>
      </c>
      <c r="I924" s="2">
        <v>20</v>
      </c>
      <c r="J924" s="15">
        <v>6145.33</v>
      </c>
    </row>
    <row r="925" spans="1:10" x14ac:dyDescent="0.3">
      <c r="A925" s="2" t="s">
        <v>956</v>
      </c>
      <c r="B925" s="3">
        <v>45945</v>
      </c>
      <c r="C925" s="2" t="s">
        <v>15</v>
      </c>
      <c r="D925" s="2" t="s">
        <v>23</v>
      </c>
      <c r="E925" s="2" t="s">
        <v>30</v>
      </c>
      <c r="F925" s="2">
        <v>15</v>
      </c>
      <c r="G925" s="15">
        <v>777.15</v>
      </c>
      <c r="H925" s="15">
        <v>11657.25</v>
      </c>
      <c r="I925" s="2">
        <v>20</v>
      </c>
      <c r="J925" s="15">
        <v>9325.7999999999993</v>
      </c>
    </row>
    <row r="926" spans="1:10" x14ac:dyDescent="0.3">
      <c r="A926" s="2" t="s">
        <v>957</v>
      </c>
      <c r="B926" s="3">
        <v>45995</v>
      </c>
      <c r="C926" s="2" t="s">
        <v>15</v>
      </c>
      <c r="D926" s="2" t="s">
        <v>60</v>
      </c>
      <c r="E926" s="2" t="s">
        <v>20</v>
      </c>
      <c r="F926" s="2">
        <v>17</v>
      </c>
      <c r="G926" s="15">
        <v>252.38</v>
      </c>
      <c r="H926" s="15">
        <v>4290.46</v>
      </c>
      <c r="I926" s="2">
        <v>0</v>
      </c>
      <c r="J926" s="15">
        <v>4290.46</v>
      </c>
    </row>
    <row r="927" spans="1:10" x14ac:dyDescent="0.3">
      <c r="A927" s="2" t="s">
        <v>958</v>
      </c>
      <c r="B927" s="3">
        <v>45917</v>
      </c>
      <c r="C927" s="2" t="s">
        <v>15</v>
      </c>
      <c r="D927" s="2" t="s">
        <v>60</v>
      </c>
      <c r="E927" s="2" t="s">
        <v>33</v>
      </c>
      <c r="F927" s="2">
        <v>5</v>
      </c>
      <c r="G927" s="15">
        <v>531.86</v>
      </c>
      <c r="H927" s="15">
        <v>2659.3</v>
      </c>
      <c r="I927" s="2">
        <v>20</v>
      </c>
      <c r="J927" s="15">
        <v>2127.44</v>
      </c>
    </row>
    <row r="928" spans="1:10" x14ac:dyDescent="0.3">
      <c r="A928" s="2" t="s">
        <v>959</v>
      </c>
      <c r="B928" s="3">
        <v>46127</v>
      </c>
      <c r="C928" s="2" t="s">
        <v>22</v>
      </c>
      <c r="D928" s="2" t="s">
        <v>32</v>
      </c>
      <c r="E928" s="2" t="s">
        <v>24</v>
      </c>
      <c r="F928" s="2">
        <v>19</v>
      </c>
      <c r="G928" s="15">
        <v>500.96</v>
      </c>
      <c r="H928" s="15">
        <v>9518.24</v>
      </c>
      <c r="I928" s="2">
        <v>10</v>
      </c>
      <c r="J928" s="15">
        <v>8566.42</v>
      </c>
    </row>
    <row r="929" spans="1:10" x14ac:dyDescent="0.3">
      <c r="A929" s="2" t="s">
        <v>960</v>
      </c>
      <c r="B929" s="3">
        <v>45888</v>
      </c>
      <c r="C929" s="2" t="s">
        <v>15</v>
      </c>
      <c r="D929" s="2" t="s">
        <v>23</v>
      </c>
      <c r="E929" s="2" t="s">
        <v>20</v>
      </c>
      <c r="F929" s="2">
        <v>14</v>
      </c>
      <c r="G929" s="15">
        <v>828.93</v>
      </c>
      <c r="H929" s="15">
        <v>11605.02</v>
      </c>
      <c r="I929" s="2">
        <v>15</v>
      </c>
      <c r="J929" s="15">
        <v>9864.27</v>
      </c>
    </row>
    <row r="930" spans="1:10" x14ac:dyDescent="0.3">
      <c r="A930" s="2" t="s">
        <v>961</v>
      </c>
      <c r="B930" s="3">
        <v>46148</v>
      </c>
      <c r="C930" s="2" t="s">
        <v>15</v>
      </c>
      <c r="D930" s="2" t="s">
        <v>16</v>
      </c>
      <c r="E930" s="2" t="s">
        <v>24</v>
      </c>
      <c r="F930" s="2">
        <v>5</v>
      </c>
      <c r="G930" s="15">
        <v>751.89</v>
      </c>
      <c r="H930" s="15">
        <v>3759.45</v>
      </c>
      <c r="I930" s="2">
        <v>0</v>
      </c>
      <c r="J930" s="15">
        <v>3759.45</v>
      </c>
    </row>
    <row r="931" spans="1:10" x14ac:dyDescent="0.3">
      <c r="A931" s="2" t="s">
        <v>962</v>
      </c>
      <c r="B931" s="3">
        <v>46135</v>
      </c>
      <c r="C931" s="2" t="s">
        <v>18</v>
      </c>
      <c r="D931" s="2" t="s">
        <v>29</v>
      </c>
      <c r="E931" s="2" t="s">
        <v>24</v>
      </c>
      <c r="F931" s="2">
        <v>3</v>
      </c>
      <c r="G931" s="15">
        <v>526.16999999999996</v>
      </c>
      <c r="H931" s="15">
        <v>1578.51</v>
      </c>
      <c r="I931" s="2">
        <v>15</v>
      </c>
      <c r="J931" s="15">
        <v>1341.73</v>
      </c>
    </row>
    <row r="932" spans="1:10" x14ac:dyDescent="0.3">
      <c r="A932" s="2" t="s">
        <v>963</v>
      </c>
      <c r="B932" s="3">
        <v>46090</v>
      </c>
      <c r="C932" s="2" t="s">
        <v>15</v>
      </c>
      <c r="D932" s="2" t="s">
        <v>16</v>
      </c>
      <c r="E932" s="2" t="s">
        <v>37</v>
      </c>
      <c r="F932" s="2">
        <v>12</v>
      </c>
      <c r="G932" s="15">
        <v>310.74</v>
      </c>
      <c r="H932" s="15">
        <v>3728.88</v>
      </c>
      <c r="I932" s="2">
        <v>5</v>
      </c>
      <c r="J932" s="15">
        <v>3542.44</v>
      </c>
    </row>
    <row r="933" spans="1:10" x14ac:dyDescent="0.3">
      <c r="A933" s="2" t="s">
        <v>964</v>
      </c>
      <c r="B933" s="3">
        <v>46116</v>
      </c>
      <c r="C933" s="2" t="s">
        <v>22</v>
      </c>
      <c r="D933" s="2" t="s">
        <v>26</v>
      </c>
      <c r="E933" s="2" t="s">
        <v>27</v>
      </c>
      <c r="F933" s="2">
        <v>17</v>
      </c>
      <c r="G933" s="15">
        <v>249.71</v>
      </c>
      <c r="H933" s="15">
        <v>4245.07</v>
      </c>
      <c r="I933" s="2">
        <v>10</v>
      </c>
      <c r="J933" s="15">
        <v>3820.56</v>
      </c>
    </row>
    <row r="934" spans="1:10" x14ac:dyDescent="0.3">
      <c r="A934" s="2" t="s">
        <v>965</v>
      </c>
      <c r="B934" s="3">
        <v>46116</v>
      </c>
      <c r="C934" s="2" t="s">
        <v>15</v>
      </c>
      <c r="D934" s="2" t="s">
        <v>44</v>
      </c>
      <c r="E934" s="2" t="s">
        <v>30</v>
      </c>
      <c r="F934" s="2">
        <v>4</v>
      </c>
      <c r="G934" s="15">
        <v>720.53</v>
      </c>
      <c r="H934" s="15">
        <v>2882.12</v>
      </c>
      <c r="I934" s="2">
        <v>10</v>
      </c>
      <c r="J934" s="15">
        <v>2593.91</v>
      </c>
    </row>
    <row r="935" spans="1:10" x14ac:dyDescent="0.3">
      <c r="A935" s="2" t="s">
        <v>966</v>
      </c>
      <c r="B935" s="3">
        <v>45979</v>
      </c>
      <c r="C935" s="2" t="s">
        <v>15</v>
      </c>
      <c r="D935" s="2" t="s">
        <v>19</v>
      </c>
      <c r="E935" s="2" t="s">
        <v>33</v>
      </c>
      <c r="F935" s="2">
        <v>2</v>
      </c>
      <c r="G935" s="15">
        <v>293.70999999999998</v>
      </c>
      <c r="H935" s="15">
        <v>587.41999999999996</v>
      </c>
      <c r="I935" s="2">
        <v>10</v>
      </c>
      <c r="J935" s="15">
        <v>528.67999999999995</v>
      </c>
    </row>
    <row r="936" spans="1:10" x14ac:dyDescent="0.3">
      <c r="A936" s="2" t="s">
        <v>967</v>
      </c>
      <c r="B936" s="3">
        <v>45880</v>
      </c>
      <c r="C936" s="2" t="s">
        <v>22</v>
      </c>
      <c r="D936" s="2" t="s">
        <v>16</v>
      </c>
      <c r="E936" s="2" t="s">
        <v>76</v>
      </c>
      <c r="F936" s="2">
        <v>18</v>
      </c>
      <c r="G936" s="15">
        <v>420.78</v>
      </c>
      <c r="H936" s="15">
        <v>7574.04</v>
      </c>
      <c r="I936" s="2">
        <v>15</v>
      </c>
      <c r="J936" s="15">
        <v>6437.93</v>
      </c>
    </row>
    <row r="937" spans="1:10" x14ac:dyDescent="0.3">
      <c r="A937" s="2" t="s">
        <v>968</v>
      </c>
      <c r="B937" s="3">
        <v>46122</v>
      </c>
      <c r="C937" s="2" t="s">
        <v>22</v>
      </c>
      <c r="D937" s="2" t="s">
        <v>26</v>
      </c>
      <c r="E937" s="2" t="s">
        <v>24</v>
      </c>
      <c r="F937" s="2">
        <v>6</v>
      </c>
      <c r="G937" s="15">
        <v>597.39</v>
      </c>
      <c r="H937" s="15">
        <v>3584.34</v>
      </c>
      <c r="I937" s="2">
        <v>5</v>
      </c>
      <c r="J937" s="15">
        <v>3405.12</v>
      </c>
    </row>
    <row r="938" spans="1:10" x14ac:dyDescent="0.3">
      <c r="A938" s="2" t="s">
        <v>969</v>
      </c>
      <c r="B938" s="3">
        <v>45807</v>
      </c>
      <c r="C938" s="2" t="s">
        <v>11</v>
      </c>
      <c r="D938" s="2" t="s">
        <v>29</v>
      </c>
      <c r="E938" s="2" t="s">
        <v>76</v>
      </c>
      <c r="F938" s="2">
        <v>10</v>
      </c>
      <c r="G938" s="15">
        <v>913.64</v>
      </c>
      <c r="H938" s="15">
        <v>9136.4</v>
      </c>
      <c r="I938" s="2">
        <v>20</v>
      </c>
      <c r="J938" s="15">
        <v>7309.12</v>
      </c>
    </row>
    <row r="939" spans="1:10" x14ac:dyDescent="0.3">
      <c r="A939" s="2" t="s">
        <v>970</v>
      </c>
      <c r="B939" s="3">
        <v>46073</v>
      </c>
      <c r="C939" s="2" t="s">
        <v>15</v>
      </c>
      <c r="D939" s="2" t="s">
        <v>26</v>
      </c>
      <c r="E939" s="2" t="s">
        <v>76</v>
      </c>
      <c r="F939" s="2">
        <v>4</v>
      </c>
      <c r="G939" s="15">
        <v>189.26</v>
      </c>
      <c r="H939" s="15">
        <v>757.04</v>
      </c>
      <c r="I939" s="2">
        <v>15</v>
      </c>
      <c r="J939" s="15">
        <v>643.48</v>
      </c>
    </row>
    <row r="940" spans="1:10" x14ac:dyDescent="0.3">
      <c r="A940" s="2" t="s">
        <v>971</v>
      </c>
      <c r="B940" s="3">
        <v>45926</v>
      </c>
      <c r="C940" s="2" t="s">
        <v>15</v>
      </c>
      <c r="D940" s="2" t="s">
        <v>19</v>
      </c>
      <c r="E940" s="2" t="s">
        <v>37</v>
      </c>
      <c r="F940" s="2">
        <v>13</v>
      </c>
      <c r="G940" s="15">
        <v>159.74</v>
      </c>
      <c r="H940" s="15">
        <v>2076.62</v>
      </c>
      <c r="I940" s="2">
        <v>0</v>
      </c>
      <c r="J940" s="15">
        <v>2076.62</v>
      </c>
    </row>
    <row r="941" spans="1:10" x14ac:dyDescent="0.3">
      <c r="A941" s="2" t="s">
        <v>972</v>
      </c>
      <c r="B941" s="3">
        <v>45862</v>
      </c>
      <c r="C941" s="2" t="s">
        <v>11</v>
      </c>
      <c r="D941" s="2" t="s">
        <v>26</v>
      </c>
      <c r="E941" s="2" t="s">
        <v>27</v>
      </c>
      <c r="F941" s="2">
        <v>14</v>
      </c>
      <c r="G941" s="15">
        <v>576.35</v>
      </c>
      <c r="H941" s="15">
        <v>8068.9</v>
      </c>
      <c r="I941" s="2">
        <v>15</v>
      </c>
      <c r="J941" s="15">
        <v>6858.56</v>
      </c>
    </row>
    <row r="942" spans="1:10" x14ac:dyDescent="0.3">
      <c r="A942" s="2" t="s">
        <v>973</v>
      </c>
      <c r="B942" s="3">
        <v>45820</v>
      </c>
      <c r="C942" s="2" t="s">
        <v>18</v>
      </c>
      <c r="D942" s="2" t="s">
        <v>23</v>
      </c>
      <c r="E942" s="2" t="s">
        <v>24</v>
      </c>
      <c r="F942" s="2">
        <v>20</v>
      </c>
      <c r="G942" s="15">
        <v>77.87</v>
      </c>
      <c r="H942" s="15">
        <v>1557.4</v>
      </c>
      <c r="I942" s="2">
        <v>15</v>
      </c>
      <c r="J942" s="15">
        <v>1323.79</v>
      </c>
    </row>
    <row r="943" spans="1:10" x14ac:dyDescent="0.3">
      <c r="A943" s="2" t="s">
        <v>974</v>
      </c>
      <c r="B943" s="3">
        <v>46096</v>
      </c>
      <c r="C943" s="2" t="s">
        <v>15</v>
      </c>
      <c r="D943" s="2" t="s">
        <v>16</v>
      </c>
      <c r="E943" s="2" t="s">
        <v>76</v>
      </c>
      <c r="F943" s="2">
        <v>9</v>
      </c>
      <c r="G943" s="15">
        <v>222.23</v>
      </c>
      <c r="H943" s="15">
        <v>2000.07</v>
      </c>
      <c r="I943" s="2">
        <v>20</v>
      </c>
      <c r="J943" s="15">
        <v>1600.06</v>
      </c>
    </row>
    <row r="944" spans="1:10" x14ac:dyDescent="0.3">
      <c r="A944" s="2" t="s">
        <v>975</v>
      </c>
      <c r="B944" s="3">
        <v>46025</v>
      </c>
      <c r="C944" s="2" t="s">
        <v>18</v>
      </c>
      <c r="D944" s="2" t="s">
        <v>19</v>
      </c>
      <c r="E944" s="2" t="s">
        <v>37</v>
      </c>
      <c r="F944" s="2">
        <v>9</v>
      </c>
      <c r="G944" s="15">
        <v>247.44</v>
      </c>
      <c r="H944" s="15">
        <v>2226.96</v>
      </c>
      <c r="I944" s="2">
        <v>10</v>
      </c>
      <c r="J944" s="15">
        <v>2004.26</v>
      </c>
    </row>
    <row r="945" spans="1:10" x14ac:dyDescent="0.3">
      <c r="A945" s="2" t="s">
        <v>976</v>
      </c>
      <c r="B945" s="3">
        <v>46097</v>
      </c>
      <c r="C945" s="2" t="s">
        <v>18</v>
      </c>
      <c r="D945" s="2" t="s">
        <v>52</v>
      </c>
      <c r="E945" s="2" t="s">
        <v>20</v>
      </c>
      <c r="F945" s="2">
        <v>16</v>
      </c>
      <c r="G945" s="15">
        <v>584.75</v>
      </c>
      <c r="H945" s="15">
        <v>9356</v>
      </c>
      <c r="I945" s="2">
        <v>10</v>
      </c>
      <c r="J945" s="15">
        <v>8420.4</v>
      </c>
    </row>
    <row r="946" spans="1:10" x14ac:dyDescent="0.3">
      <c r="A946" s="2" t="s">
        <v>977</v>
      </c>
      <c r="B946" s="3">
        <v>46022</v>
      </c>
      <c r="C946" s="2" t="s">
        <v>15</v>
      </c>
      <c r="D946" s="2" t="s">
        <v>19</v>
      </c>
      <c r="E946" s="2" t="s">
        <v>39</v>
      </c>
      <c r="F946" s="2">
        <v>18</v>
      </c>
      <c r="G946" s="15">
        <v>76</v>
      </c>
      <c r="H946" s="15">
        <v>1368</v>
      </c>
      <c r="I946" s="2">
        <v>10</v>
      </c>
      <c r="J946" s="15">
        <v>1231.2</v>
      </c>
    </row>
    <row r="947" spans="1:10" x14ac:dyDescent="0.3">
      <c r="A947" s="2" t="s">
        <v>978</v>
      </c>
      <c r="B947" s="3">
        <v>46117</v>
      </c>
      <c r="C947" s="2" t="s">
        <v>15</v>
      </c>
      <c r="D947" s="2" t="s">
        <v>19</v>
      </c>
      <c r="E947" s="2" t="s">
        <v>37</v>
      </c>
      <c r="F947" s="2">
        <v>9</v>
      </c>
      <c r="G947" s="15">
        <v>299.89999999999998</v>
      </c>
      <c r="H947" s="15">
        <v>2699.1</v>
      </c>
      <c r="I947" s="2">
        <v>15</v>
      </c>
      <c r="J947" s="15">
        <v>2294.23</v>
      </c>
    </row>
    <row r="948" spans="1:10" x14ac:dyDescent="0.3">
      <c r="A948" s="2" t="s">
        <v>979</v>
      </c>
      <c r="B948" s="3">
        <v>46013</v>
      </c>
      <c r="C948" s="2" t="s">
        <v>18</v>
      </c>
      <c r="D948" s="2" t="s">
        <v>23</v>
      </c>
      <c r="E948" s="2" t="s">
        <v>39</v>
      </c>
      <c r="F948" s="2">
        <v>2</v>
      </c>
      <c r="G948" s="15">
        <v>430.74</v>
      </c>
      <c r="H948" s="15">
        <v>861.48</v>
      </c>
      <c r="I948" s="2">
        <v>10</v>
      </c>
      <c r="J948" s="15">
        <v>775.33</v>
      </c>
    </row>
    <row r="949" spans="1:10" x14ac:dyDescent="0.3">
      <c r="A949" s="2" t="s">
        <v>980</v>
      </c>
      <c r="B949" s="3">
        <v>46097</v>
      </c>
      <c r="C949" s="2" t="s">
        <v>11</v>
      </c>
      <c r="D949" s="2" t="s">
        <v>29</v>
      </c>
      <c r="E949" s="2" t="s">
        <v>24</v>
      </c>
      <c r="F949" s="2">
        <v>20</v>
      </c>
      <c r="G949" s="15">
        <v>309.62</v>
      </c>
      <c r="H949" s="15">
        <v>6192.4</v>
      </c>
      <c r="I949" s="2">
        <v>0</v>
      </c>
      <c r="J949" s="15">
        <v>6192.4</v>
      </c>
    </row>
    <row r="950" spans="1:10" x14ac:dyDescent="0.3">
      <c r="A950" s="2" t="s">
        <v>981</v>
      </c>
      <c r="B950" s="3">
        <v>46028</v>
      </c>
      <c r="C950" s="2" t="s">
        <v>11</v>
      </c>
      <c r="D950" s="2" t="s">
        <v>32</v>
      </c>
      <c r="E950" s="2" t="s">
        <v>87</v>
      </c>
      <c r="F950" s="2">
        <v>13</v>
      </c>
      <c r="G950" s="15">
        <v>948.22</v>
      </c>
      <c r="H950" s="15">
        <v>12326.86</v>
      </c>
      <c r="I950" s="2">
        <v>0</v>
      </c>
      <c r="J950" s="15">
        <v>12326.86</v>
      </c>
    </row>
    <row r="951" spans="1:10" x14ac:dyDescent="0.3">
      <c r="A951" s="2" t="s">
        <v>982</v>
      </c>
      <c r="B951" s="3">
        <v>45946</v>
      </c>
      <c r="C951" s="2" t="s">
        <v>22</v>
      </c>
      <c r="D951" s="2" t="s">
        <v>44</v>
      </c>
      <c r="E951" s="2" t="s">
        <v>13</v>
      </c>
      <c r="F951" s="2">
        <v>17</v>
      </c>
      <c r="G951" s="15">
        <v>229.71</v>
      </c>
      <c r="H951" s="15">
        <v>3905.07</v>
      </c>
      <c r="I951" s="2">
        <v>5</v>
      </c>
      <c r="J951" s="15">
        <v>3709.82</v>
      </c>
    </row>
    <row r="952" spans="1:10" x14ac:dyDescent="0.3">
      <c r="A952" s="2" t="s">
        <v>983</v>
      </c>
      <c r="B952" s="3">
        <v>45837</v>
      </c>
      <c r="C952" s="2" t="s">
        <v>18</v>
      </c>
      <c r="D952" s="2" t="s">
        <v>19</v>
      </c>
      <c r="E952" s="2" t="s">
        <v>27</v>
      </c>
      <c r="F952" s="2">
        <v>1</v>
      </c>
      <c r="G952" s="15">
        <v>338.91</v>
      </c>
      <c r="H952" s="15">
        <v>338.91</v>
      </c>
      <c r="I952" s="2">
        <v>10</v>
      </c>
      <c r="J952" s="15">
        <v>305.02</v>
      </c>
    </row>
    <row r="953" spans="1:10" x14ac:dyDescent="0.3">
      <c r="A953" s="2" t="s">
        <v>984</v>
      </c>
      <c r="B953" s="3">
        <v>45862</v>
      </c>
      <c r="C953" s="2" t="s">
        <v>18</v>
      </c>
      <c r="D953" s="2" t="s">
        <v>29</v>
      </c>
      <c r="E953" s="2" t="s">
        <v>33</v>
      </c>
      <c r="F953" s="2">
        <v>9</v>
      </c>
      <c r="G953" s="15">
        <v>393.31</v>
      </c>
      <c r="H953" s="15">
        <v>3539.79</v>
      </c>
      <c r="I953" s="2">
        <v>10</v>
      </c>
      <c r="J953" s="15">
        <v>3185.81</v>
      </c>
    </row>
    <row r="954" spans="1:10" x14ac:dyDescent="0.3">
      <c r="A954" s="2" t="s">
        <v>985</v>
      </c>
      <c r="B954" s="3">
        <v>45800</v>
      </c>
      <c r="C954" s="2" t="s">
        <v>18</v>
      </c>
      <c r="D954" s="2" t="s">
        <v>26</v>
      </c>
      <c r="E954" s="2" t="s">
        <v>87</v>
      </c>
      <c r="F954" s="2">
        <v>9</v>
      </c>
      <c r="G954" s="15">
        <v>226.98</v>
      </c>
      <c r="H954" s="15">
        <v>2042.82</v>
      </c>
      <c r="I954" s="2">
        <v>20</v>
      </c>
      <c r="J954" s="15">
        <v>1634.26</v>
      </c>
    </row>
    <row r="955" spans="1:10" x14ac:dyDescent="0.3">
      <c r="A955" s="2" t="s">
        <v>986</v>
      </c>
      <c r="B955" s="3">
        <v>46125</v>
      </c>
      <c r="C955" s="2" t="s">
        <v>22</v>
      </c>
      <c r="D955" s="2" t="s">
        <v>12</v>
      </c>
      <c r="E955" s="2" t="s">
        <v>24</v>
      </c>
      <c r="F955" s="2">
        <v>13</v>
      </c>
      <c r="G955" s="15">
        <v>233.78</v>
      </c>
      <c r="H955" s="15">
        <v>3039.14</v>
      </c>
      <c r="I955" s="2">
        <v>10</v>
      </c>
      <c r="J955" s="15">
        <v>2735.23</v>
      </c>
    </row>
    <row r="956" spans="1:10" x14ac:dyDescent="0.3">
      <c r="A956" s="2" t="s">
        <v>987</v>
      </c>
      <c r="B956" s="3">
        <v>45864</v>
      </c>
      <c r="C956" s="2" t="s">
        <v>22</v>
      </c>
      <c r="D956" s="2" t="s">
        <v>16</v>
      </c>
      <c r="E956" s="2" t="s">
        <v>20</v>
      </c>
      <c r="F956" s="2">
        <v>11</v>
      </c>
      <c r="G956" s="15">
        <v>276.83</v>
      </c>
      <c r="H956" s="15">
        <v>3045.13</v>
      </c>
      <c r="I956" s="2">
        <v>10</v>
      </c>
      <c r="J956" s="15">
        <v>2740.62</v>
      </c>
    </row>
    <row r="957" spans="1:10" x14ac:dyDescent="0.3">
      <c r="A957" s="2" t="s">
        <v>988</v>
      </c>
      <c r="B957" s="3">
        <v>46052</v>
      </c>
      <c r="C957" s="2" t="s">
        <v>18</v>
      </c>
      <c r="D957" s="2" t="s">
        <v>19</v>
      </c>
      <c r="E957" s="2" t="s">
        <v>76</v>
      </c>
      <c r="F957" s="2">
        <v>9</v>
      </c>
      <c r="G957" s="15">
        <v>934.68</v>
      </c>
      <c r="H957" s="15">
        <v>8412.1200000000008</v>
      </c>
      <c r="I957" s="2">
        <v>5</v>
      </c>
      <c r="J957" s="15">
        <v>7991.51</v>
      </c>
    </row>
    <row r="958" spans="1:10" x14ac:dyDescent="0.3">
      <c r="A958" s="2" t="s">
        <v>989</v>
      </c>
      <c r="B958" s="3">
        <v>45811</v>
      </c>
      <c r="C958" s="2" t="s">
        <v>18</v>
      </c>
      <c r="D958" s="2" t="s">
        <v>16</v>
      </c>
      <c r="E958" s="2" t="s">
        <v>76</v>
      </c>
      <c r="F958" s="2">
        <v>15</v>
      </c>
      <c r="G958" s="15">
        <v>693.6</v>
      </c>
      <c r="H958" s="15">
        <v>10404</v>
      </c>
      <c r="I958" s="2">
        <v>10</v>
      </c>
      <c r="J958" s="15">
        <v>9363.6</v>
      </c>
    </row>
    <row r="959" spans="1:10" x14ac:dyDescent="0.3">
      <c r="A959" s="2" t="s">
        <v>990</v>
      </c>
      <c r="B959" s="3">
        <v>46149</v>
      </c>
      <c r="C959" s="2" t="s">
        <v>11</v>
      </c>
      <c r="D959" s="2" t="s">
        <v>16</v>
      </c>
      <c r="E959" s="2" t="s">
        <v>33</v>
      </c>
      <c r="F959" s="2">
        <v>10</v>
      </c>
      <c r="G959" s="15">
        <v>480.11</v>
      </c>
      <c r="H959" s="15">
        <v>4801.1000000000004</v>
      </c>
      <c r="I959" s="2">
        <v>20</v>
      </c>
      <c r="J959" s="15">
        <v>3840.88</v>
      </c>
    </row>
    <row r="960" spans="1:10" x14ac:dyDescent="0.3">
      <c r="A960" s="2" t="s">
        <v>991</v>
      </c>
      <c r="B960" s="3">
        <v>45870</v>
      </c>
      <c r="C960" s="2" t="s">
        <v>15</v>
      </c>
      <c r="D960" s="2" t="s">
        <v>26</v>
      </c>
      <c r="E960" s="2" t="s">
        <v>30</v>
      </c>
      <c r="F960" s="2">
        <v>16</v>
      </c>
      <c r="G960" s="15">
        <v>788.05</v>
      </c>
      <c r="H960" s="15">
        <v>12608.8</v>
      </c>
      <c r="I960" s="2">
        <v>5</v>
      </c>
      <c r="J960" s="15">
        <v>11978.36</v>
      </c>
    </row>
    <row r="961" spans="1:10" x14ac:dyDescent="0.3">
      <c r="A961" s="2" t="s">
        <v>992</v>
      </c>
      <c r="B961" s="3">
        <v>45838</v>
      </c>
      <c r="C961" s="2" t="s">
        <v>15</v>
      </c>
      <c r="D961" s="2" t="s">
        <v>32</v>
      </c>
      <c r="E961" s="2" t="s">
        <v>76</v>
      </c>
      <c r="F961" s="2">
        <v>5</v>
      </c>
      <c r="G961" s="15">
        <v>405.39</v>
      </c>
      <c r="H961" s="15">
        <v>2026.95</v>
      </c>
      <c r="I961" s="2">
        <v>10</v>
      </c>
      <c r="J961" s="15">
        <v>1824.26</v>
      </c>
    </row>
    <row r="962" spans="1:10" x14ac:dyDescent="0.3">
      <c r="A962" s="2" t="s">
        <v>993</v>
      </c>
      <c r="B962" s="3">
        <v>45919</v>
      </c>
      <c r="C962" s="2" t="s">
        <v>18</v>
      </c>
      <c r="D962" s="2" t="s">
        <v>29</v>
      </c>
      <c r="E962" s="2" t="s">
        <v>37</v>
      </c>
      <c r="F962" s="2">
        <v>16</v>
      </c>
      <c r="G962" s="15">
        <v>333.05</v>
      </c>
      <c r="H962" s="15">
        <v>5328.8</v>
      </c>
      <c r="I962" s="2">
        <v>15</v>
      </c>
      <c r="J962" s="15">
        <v>4529.4799999999996</v>
      </c>
    </row>
    <row r="963" spans="1:10" x14ac:dyDescent="0.3">
      <c r="A963" s="2" t="s">
        <v>994</v>
      </c>
      <c r="B963" s="3">
        <v>46070</v>
      </c>
      <c r="C963" s="2" t="s">
        <v>15</v>
      </c>
      <c r="D963" s="2" t="s">
        <v>19</v>
      </c>
      <c r="E963" s="2" t="s">
        <v>24</v>
      </c>
      <c r="F963" s="2">
        <v>17</v>
      </c>
      <c r="G963" s="15">
        <v>820.91</v>
      </c>
      <c r="H963" s="15">
        <v>13955.47</v>
      </c>
      <c r="I963" s="2">
        <v>15</v>
      </c>
      <c r="J963" s="15">
        <v>11862.15</v>
      </c>
    </row>
    <row r="964" spans="1:10" x14ac:dyDescent="0.3">
      <c r="A964" s="2" t="s">
        <v>995</v>
      </c>
      <c r="B964" s="3">
        <v>46030</v>
      </c>
      <c r="C964" s="2" t="s">
        <v>18</v>
      </c>
      <c r="D964" s="2" t="s">
        <v>29</v>
      </c>
      <c r="E964" s="2" t="s">
        <v>39</v>
      </c>
      <c r="F964" s="2">
        <v>12</v>
      </c>
      <c r="G964" s="15">
        <v>998.59</v>
      </c>
      <c r="H964" s="15">
        <v>11983.08</v>
      </c>
      <c r="I964" s="2">
        <v>15</v>
      </c>
      <c r="J964" s="15">
        <v>10185.620000000001</v>
      </c>
    </row>
    <row r="965" spans="1:10" x14ac:dyDescent="0.3">
      <c r="A965" s="2" t="s">
        <v>996</v>
      </c>
      <c r="B965" s="3">
        <v>45815</v>
      </c>
      <c r="C965" s="2" t="s">
        <v>18</v>
      </c>
      <c r="D965" s="2" t="s">
        <v>12</v>
      </c>
      <c r="E965" s="2" t="s">
        <v>87</v>
      </c>
      <c r="F965" s="2">
        <v>15</v>
      </c>
      <c r="G965" s="15">
        <v>891.36</v>
      </c>
      <c r="H965" s="15">
        <v>13370.4</v>
      </c>
      <c r="I965" s="2">
        <v>10</v>
      </c>
      <c r="J965" s="15">
        <v>12033.36</v>
      </c>
    </row>
    <row r="966" spans="1:10" x14ac:dyDescent="0.3">
      <c r="A966" s="2" t="s">
        <v>997</v>
      </c>
      <c r="B966" s="3">
        <v>45884</v>
      </c>
      <c r="C966" s="2" t="s">
        <v>15</v>
      </c>
      <c r="D966" s="2" t="s">
        <v>44</v>
      </c>
      <c r="E966" s="2" t="s">
        <v>13</v>
      </c>
      <c r="F966" s="2">
        <v>1</v>
      </c>
      <c r="G966" s="15">
        <v>568.33000000000004</v>
      </c>
      <c r="H966" s="15">
        <v>568.33000000000004</v>
      </c>
      <c r="I966" s="2">
        <v>0</v>
      </c>
      <c r="J966" s="15">
        <v>568.33000000000004</v>
      </c>
    </row>
    <row r="967" spans="1:10" x14ac:dyDescent="0.3">
      <c r="A967" s="2" t="s">
        <v>998</v>
      </c>
      <c r="B967" s="3">
        <v>46114</v>
      </c>
      <c r="C967" s="2" t="s">
        <v>11</v>
      </c>
      <c r="D967" s="2" t="s">
        <v>32</v>
      </c>
      <c r="E967" s="2" t="s">
        <v>39</v>
      </c>
      <c r="F967" s="2">
        <v>7</v>
      </c>
      <c r="G967" s="15">
        <v>366.31</v>
      </c>
      <c r="H967" s="15">
        <v>2564.17</v>
      </c>
      <c r="I967" s="2">
        <v>5</v>
      </c>
      <c r="J967" s="15">
        <v>2435.96</v>
      </c>
    </row>
    <row r="968" spans="1:10" x14ac:dyDescent="0.3">
      <c r="A968" s="2" t="s">
        <v>999</v>
      </c>
      <c r="B968" s="3">
        <v>46039</v>
      </c>
      <c r="C968" s="2" t="s">
        <v>15</v>
      </c>
      <c r="D968" s="2" t="s">
        <v>32</v>
      </c>
      <c r="E968" s="2" t="s">
        <v>37</v>
      </c>
      <c r="F968" s="2">
        <v>10</v>
      </c>
      <c r="G968" s="15">
        <v>768.53</v>
      </c>
      <c r="H968" s="15">
        <v>7685.3</v>
      </c>
      <c r="I968" s="2">
        <v>5</v>
      </c>
      <c r="J968" s="15">
        <v>7301.03</v>
      </c>
    </row>
    <row r="969" spans="1:10" x14ac:dyDescent="0.3">
      <c r="A969" s="2" t="s">
        <v>1000</v>
      </c>
      <c r="B969" s="3">
        <v>46118</v>
      </c>
      <c r="C969" s="2" t="s">
        <v>18</v>
      </c>
      <c r="D969" s="2" t="s">
        <v>32</v>
      </c>
      <c r="E969" s="2" t="s">
        <v>20</v>
      </c>
      <c r="F969" s="2">
        <v>19</v>
      </c>
      <c r="G969" s="15">
        <v>165.74</v>
      </c>
      <c r="H969" s="15">
        <v>3149.06</v>
      </c>
      <c r="I969" s="2">
        <v>5</v>
      </c>
      <c r="J969" s="15">
        <v>2991.61</v>
      </c>
    </row>
    <row r="970" spans="1:10" x14ac:dyDescent="0.3">
      <c r="A970" s="2" t="s">
        <v>1001</v>
      </c>
      <c r="B970" s="3">
        <v>46154</v>
      </c>
      <c r="C970" s="2" t="s">
        <v>18</v>
      </c>
      <c r="D970" s="2" t="s">
        <v>16</v>
      </c>
      <c r="E970" s="2" t="s">
        <v>27</v>
      </c>
      <c r="F970" s="2">
        <v>16</v>
      </c>
      <c r="G970" s="15">
        <v>450.4</v>
      </c>
      <c r="H970" s="15">
        <v>7206.4</v>
      </c>
      <c r="I970" s="2">
        <v>0</v>
      </c>
      <c r="J970" s="15">
        <v>7206.4</v>
      </c>
    </row>
    <row r="971" spans="1:10" x14ac:dyDescent="0.3">
      <c r="A971" s="2" t="s">
        <v>1002</v>
      </c>
      <c r="B971" s="3">
        <v>46037</v>
      </c>
      <c r="C971" s="2" t="s">
        <v>15</v>
      </c>
      <c r="D971" s="2" t="s">
        <v>29</v>
      </c>
      <c r="E971" s="2" t="s">
        <v>30</v>
      </c>
      <c r="F971" s="2">
        <v>10</v>
      </c>
      <c r="G971" s="15">
        <v>881.06</v>
      </c>
      <c r="H971" s="15">
        <v>8810.6</v>
      </c>
      <c r="I971" s="2">
        <v>20</v>
      </c>
      <c r="J971" s="15">
        <v>7048.48</v>
      </c>
    </row>
    <row r="972" spans="1:10" x14ac:dyDescent="0.3">
      <c r="A972" s="2" t="s">
        <v>1003</v>
      </c>
      <c r="B972" s="3">
        <v>45931</v>
      </c>
      <c r="C972" s="2" t="s">
        <v>15</v>
      </c>
      <c r="D972" s="2" t="s">
        <v>29</v>
      </c>
      <c r="E972" s="2" t="s">
        <v>87</v>
      </c>
      <c r="F972" s="2">
        <v>17</v>
      </c>
      <c r="G972" s="15">
        <v>356.83</v>
      </c>
      <c r="H972" s="15">
        <v>6066.11</v>
      </c>
      <c r="I972" s="2">
        <v>15</v>
      </c>
      <c r="J972" s="15">
        <v>5156.1899999999996</v>
      </c>
    </row>
    <row r="973" spans="1:10" x14ac:dyDescent="0.3">
      <c r="A973" s="2" t="s">
        <v>1004</v>
      </c>
      <c r="B973" s="3">
        <v>46010</v>
      </c>
      <c r="C973" s="2" t="s">
        <v>15</v>
      </c>
      <c r="D973" s="2" t="s">
        <v>12</v>
      </c>
      <c r="E973" s="2" t="s">
        <v>33</v>
      </c>
      <c r="F973" s="2">
        <v>6</v>
      </c>
      <c r="G973" s="15">
        <v>913.58</v>
      </c>
      <c r="H973" s="15">
        <v>5481.48</v>
      </c>
      <c r="I973" s="2">
        <v>10</v>
      </c>
      <c r="J973" s="15">
        <v>4933.33</v>
      </c>
    </row>
    <row r="974" spans="1:10" x14ac:dyDescent="0.3">
      <c r="A974" s="2" t="s">
        <v>1005</v>
      </c>
      <c r="B974" s="3">
        <v>46032</v>
      </c>
      <c r="C974" s="2" t="s">
        <v>11</v>
      </c>
      <c r="D974" s="2" t="s">
        <v>52</v>
      </c>
      <c r="E974" s="2" t="s">
        <v>33</v>
      </c>
      <c r="F974" s="2">
        <v>10</v>
      </c>
      <c r="G974" s="15">
        <v>335.77</v>
      </c>
      <c r="H974" s="15">
        <v>3357.7</v>
      </c>
      <c r="I974" s="2">
        <v>20</v>
      </c>
      <c r="J974" s="15">
        <v>2686.16</v>
      </c>
    </row>
    <row r="975" spans="1:10" x14ac:dyDescent="0.3">
      <c r="A975" s="2" t="s">
        <v>1006</v>
      </c>
      <c r="B975" s="3">
        <v>45910</v>
      </c>
      <c r="C975" s="2" t="s">
        <v>18</v>
      </c>
      <c r="D975" s="2" t="s">
        <v>26</v>
      </c>
      <c r="E975" s="2" t="s">
        <v>76</v>
      </c>
      <c r="F975" s="2">
        <v>12</v>
      </c>
      <c r="G975" s="15">
        <v>489.29</v>
      </c>
      <c r="H975" s="15">
        <v>5871.48</v>
      </c>
      <c r="I975" s="2">
        <v>10</v>
      </c>
      <c r="J975" s="15">
        <v>5284.33</v>
      </c>
    </row>
    <row r="976" spans="1:10" x14ac:dyDescent="0.3">
      <c r="A976" s="2" t="s">
        <v>1007</v>
      </c>
      <c r="B976" s="3">
        <v>45982</v>
      </c>
      <c r="C976" s="2" t="s">
        <v>15</v>
      </c>
      <c r="D976" s="2" t="s">
        <v>16</v>
      </c>
      <c r="E976" s="2" t="s">
        <v>27</v>
      </c>
      <c r="F976" s="2">
        <v>18</v>
      </c>
      <c r="G976" s="15">
        <v>287.54000000000002</v>
      </c>
      <c r="H976" s="15">
        <v>5175.72</v>
      </c>
      <c r="I976" s="2">
        <v>10</v>
      </c>
      <c r="J976" s="15">
        <v>4658.1499999999996</v>
      </c>
    </row>
    <row r="977" spans="1:10" x14ac:dyDescent="0.3">
      <c r="A977" s="2" t="s">
        <v>1008</v>
      </c>
      <c r="B977" s="3">
        <v>46115</v>
      </c>
      <c r="C977" s="2" t="s">
        <v>11</v>
      </c>
      <c r="D977" s="2" t="s">
        <v>19</v>
      </c>
      <c r="E977" s="2" t="s">
        <v>39</v>
      </c>
      <c r="F977" s="2">
        <v>8</v>
      </c>
      <c r="G977" s="15">
        <v>579.63</v>
      </c>
      <c r="H977" s="15">
        <v>4637.04</v>
      </c>
      <c r="I977" s="2">
        <v>5</v>
      </c>
      <c r="J977" s="15">
        <v>4405.1899999999996</v>
      </c>
    </row>
    <row r="978" spans="1:10" x14ac:dyDescent="0.3">
      <c r="A978" s="2" t="s">
        <v>1009</v>
      </c>
      <c r="B978" s="3">
        <v>45839</v>
      </c>
      <c r="C978" s="2" t="s">
        <v>11</v>
      </c>
      <c r="D978" s="2" t="s">
        <v>29</v>
      </c>
      <c r="E978" s="2" t="s">
        <v>76</v>
      </c>
      <c r="F978" s="2">
        <v>14</v>
      </c>
      <c r="G978" s="15">
        <v>315.56</v>
      </c>
      <c r="H978" s="15">
        <v>4417.84</v>
      </c>
      <c r="I978" s="2">
        <v>10</v>
      </c>
      <c r="J978" s="15">
        <v>3976.06</v>
      </c>
    </row>
    <row r="979" spans="1:10" x14ac:dyDescent="0.3">
      <c r="A979" s="2" t="s">
        <v>1010</v>
      </c>
      <c r="B979" s="3">
        <v>46111</v>
      </c>
      <c r="C979" s="2" t="s">
        <v>15</v>
      </c>
      <c r="D979" s="2" t="s">
        <v>29</v>
      </c>
      <c r="E979" s="2" t="s">
        <v>76</v>
      </c>
      <c r="F979" s="2">
        <v>6</v>
      </c>
      <c r="G979" s="15">
        <v>955.29</v>
      </c>
      <c r="H979" s="15">
        <v>5731.74</v>
      </c>
      <c r="I979" s="2">
        <v>20</v>
      </c>
      <c r="J979" s="15">
        <v>4585.3900000000003</v>
      </c>
    </row>
    <row r="980" spans="1:10" x14ac:dyDescent="0.3">
      <c r="A980" s="2" t="s">
        <v>1011</v>
      </c>
      <c r="B980" s="3">
        <v>45971</v>
      </c>
      <c r="C980" s="2" t="s">
        <v>18</v>
      </c>
      <c r="D980" s="2" t="s">
        <v>29</v>
      </c>
      <c r="E980" s="2" t="s">
        <v>30</v>
      </c>
      <c r="F980" s="2">
        <v>12</v>
      </c>
      <c r="G980" s="15">
        <v>898.29</v>
      </c>
      <c r="H980" s="15">
        <v>10779.48</v>
      </c>
      <c r="I980" s="2">
        <v>0</v>
      </c>
      <c r="J980" s="15">
        <v>10779.48</v>
      </c>
    </row>
    <row r="981" spans="1:10" x14ac:dyDescent="0.3">
      <c r="A981" s="2" t="s">
        <v>1012</v>
      </c>
      <c r="B981" s="3">
        <v>46059</v>
      </c>
      <c r="C981" s="2" t="s">
        <v>15</v>
      </c>
      <c r="D981" s="2" t="s">
        <v>44</v>
      </c>
      <c r="E981" s="2" t="s">
        <v>87</v>
      </c>
      <c r="F981" s="2">
        <v>18</v>
      </c>
      <c r="G981" s="15">
        <v>944.95</v>
      </c>
      <c r="H981" s="15">
        <v>17009.099999999999</v>
      </c>
      <c r="I981" s="2">
        <v>0</v>
      </c>
      <c r="J981" s="15">
        <v>17009.099999999999</v>
      </c>
    </row>
    <row r="982" spans="1:10" x14ac:dyDescent="0.3">
      <c r="A982" s="2" t="s">
        <v>1013</v>
      </c>
      <c r="B982" s="3">
        <v>45973</v>
      </c>
      <c r="C982" s="2" t="s">
        <v>11</v>
      </c>
      <c r="D982" s="2" t="s">
        <v>23</v>
      </c>
      <c r="E982" s="2" t="s">
        <v>87</v>
      </c>
      <c r="F982" s="2">
        <v>11</v>
      </c>
      <c r="G982" s="15">
        <v>457.46</v>
      </c>
      <c r="H982" s="15">
        <v>5032.0600000000004</v>
      </c>
      <c r="I982" s="2">
        <v>5</v>
      </c>
      <c r="J982" s="15">
        <v>4780.46</v>
      </c>
    </row>
    <row r="983" spans="1:10" x14ac:dyDescent="0.3">
      <c r="A983" s="2" t="s">
        <v>1014</v>
      </c>
      <c r="B983" s="3">
        <v>45920</v>
      </c>
      <c r="C983" s="2" t="s">
        <v>15</v>
      </c>
      <c r="D983" s="2" t="s">
        <v>44</v>
      </c>
      <c r="E983" s="2" t="s">
        <v>76</v>
      </c>
      <c r="F983" s="2">
        <v>14</v>
      </c>
      <c r="G983" s="15">
        <v>480.62</v>
      </c>
      <c r="H983" s="15">
        <v>6728.68</v>
      </c>
      <c r="I983" s="2">
        <v>10</v>
      </c>
      <c r="J983" s="15">
        <v>6055.81</v>
      </c>
    </row>
    <row r="984" spans="1:10" x14ac:dyDescent="0.3">
      <c r="A984" s="2" t="s">
        <v>1015</v>
      </c>
      <c r="B984" s="3">
        <v>45978</v>
      </c>
      <c r="C984" s="2" t="s">
        <v>15</v>
      </c>
      <c r="D984" s="2" t="s">
        <v>60</v>
      </c>
      <c r="E984" s="2" t="s">
        <v>24</v>
      </c>
      <c r="F984" s="2">
        <v>20</v>
      </c>
      <c r="G984" s="15">
        <v>490.17</v>
      </c>
      <c r="H984" s="15">
        <v>9803.4</v>
      </c>
      <c r="I984" s="2">
        <v>10</v>
      </c>
      <c r="J984" s="15">
        <v>8823.06</v>
      </c>
    </row>
    <row r="985" spans="1:10" x14ac:dyDescent="0.3">
      <c r="A985" s="2" t="s">
        <v>1016</v>
      </c>
      <c r="B985" s="3">
        <v>45841</v>
      </c>
      <c r="C985" s="2" t="s">
        <v>22</v>
      </c>
      <c r="D985" s="2" t="s">
        <v>52</v>
      </c>
      <c r="E985" s="2" t="s">
        <v>37</v>
      </c>
      <c r="F985" s="2">
        <v>11</v>
      </c>
      <c r="G985" s="15">
        <v>429.74</v>
      </c>
      <c r="H985" s="15">
        <v>4727.1400000000003</v>
      </c>
      <c r="I985" s="2">
        <v>10</v>
      </c>
      <c r="J985" s="15">
        <v>4254.43</v>
      </c>
    </row>
    <row r="986" spans="1:10" x14ac:dyDescent="0.3">
      <c r="A986" s="2" t="s">
        <v>1017</v>
      </c>
      <c r="B986" s="3">
        <v>45973</v>
      </c>
      <c r="C986" s="2" t="s">
        <v>15</v>
      </c>
      <c r="D986" s="2" t="s">
        <v>23</v>
      </c>
      <c r="E986" s="2" t="s">
        <v>13</v>
      </c>
      <c r="F986" s="2">
        <v>13</v>
      </c>
      <c r="G986" s="15">
        <v>872.1</v>
      </c>
      <c r="H986" s="15">
        <v>11337.3</v>
      </c>
      <c r="I986" s="2">
        <v>10</v>
      </c>
      <c r="J986" s="15">
        <v>10203.57</v>
      </c>
    </row>
    <row r="987" spans="1:10" x14ac:dyDescent="0.3">
      <c r="A987" s="2" t="s">
        <v>1018</v>
      </c>
      <c r="B987" s="3">
        <v>46082</v>
      </c>
      <c r="C987" s="2" t="s">
        <v>22</v>
      </c>
      <c r="D987" s="2" t="s">
        <v>23</v>
      </c>
      <c r="E987" s="2" t="s">
        <v>87</v>
      </c>
      <c r="F987" s="2">
        <v>8</v>
      </c>
      <c r="G987" s="15">
        <v>917.02</v>
      </c>
      <c r="H987" s="15">
        <v>7336.16</v>
      </c>
      <c r="I987" s="2">
        <v>0</v>
      </c>
      <c r="J987" s="15">
        <v>7336.16</v>
      </c>
    </row>
    <row r="988" spans="1:10" x14ac:dyDescent="0.3">
      <c r="A988" s="2" t="s">
        <v>1019</v>
      </c>
      <c r="B988" s="3">
        <v>45922</v>
      </c>
      <c r="C988" s="2" t="s">
        <v>15</v>
      </c>
      <c r="D988" s="2" t="s">
        <v>23</v>
      </c>
      <c r="E988" s="2" t="s">
        <v>87</v>
      </c>
      <c r="F988" s="2">
        <v>18</v>
      </c>
      <c r="G988" s="15">
        <v>948.09</v>
      </c>
      <c r="H988" s="15">
        <v>17065.62</v>
      </c>
      <c r="I988" s="2">
        <v>15</v>
      </c>
      <c r="J988" s="15">
        <v>14505.78</v>
      </c>
    </row>
    <row r="989" spans="1:10" x14ac:dyDescent="0.3">
      <c r="A989" s="2" t="s">
        <v>1020</v>
      </c>
      <c r="B989" s="3">
        <v>46013</v>
      </c>
      <c r="C989" s="2" t="s">
        <v>15</v>
      </c>
      <c r="D989" s="2" t="s">
        <v>32</v>
      </c>
      <c r="E989" s="2" t="s">
        <v>33</v>
      </c>
      <c r="F989" s="2">
        <v>12</v>
      </c>
      <c r="G989" s="15">
        <v>414.95</v>
      </c>
      <c r="H989" s="15">
        <v>4979.3999999999996</v>
      </c>
      <c r="I989" s="2">
        <v>0</v>
      </c>
      <c r="J989" s="15">
        <v>4979.3999999999996</v>
      </c>
    </row>
    <row r="990" spans="1:10" x14ac:dyDescent="0.3">
      <c r="A990" s="2" t="s">
        <v>1021</v>
      </c>
      <c r="B990" s="3">
        <v>46103</v>
      </c>
      <c r="C990" s="2" t="s">
        <v>18</v>
      </c>
      <c r="D990" s="2" t="s">
        <v>29</v>
      </c>
      <c r="E990" s="2" t="s">
        <v>39</v>
      </c>
      <c r="F990" s="2">
        <v>17</v>
      </c>
      <c r="G990" s="15">
        <v>373.16</v>
      </c>
      <c r="H990" s="15">
        <v>6343.72</v>
      </c>
      <c r="I990" s="2">
        <v>10</v>
      </c>
      <c r="J990" s="15">
        <v>5709.35</v>
      </c>
    </row>
    <row r="991" spans="1:10" x14ac:dyDescent="0.3">
      <c r="A991" s="2" t="s">
        <v>1022</v>
      </c>
      <c r="B991" s="3">
        <v>45870</v>
      </c>
      <c r="C991" s="2" t="s">
        <v>18</v>
      </c>
      <c r="D991" s="2" t="s">
        <v>29</v>
      </c>
      <c r="E991" s="2" t="s">
        <v>39</v>
      </c>
      <c r="F991" s="2">
        <v>17</v>
      </c>
      <c r="G991" s="15">
        <v>962.34</v>
      </c>
      <c r="H991" s="15">
        <v>16359.78</v>
      </c>
      <c r="I991" s="2">
        <v>15</v>
      </c>
      <c r="J991" s="15">
        <v>13905.81</v>
      </c>
    </row>
    <row r="992" spans="1:10" x14ac:dyDescent="0.3">
      <c r="A992" s="2" t="s">
        <v>1023</v>
      </c>
      <c r="B992" s="3">
        <v>45814</v>
      </c>
      <c r="C992" s="2" t="s">
        <v>15</v>
      </c>
      <c r="D992" s="2" t="s">
        <v>32</v>
      </c>
      <c r="E992" s="2" t="s">
        <v>76</v>
      </c>
      <c r="F992" s="2">
        <v>5</v>
      </c>
      <c r="G992" s="15">
        <v>537.70000000000005</v>
      </c>
      <c r="H992" s="15">
        <v>2688.5</v>
      </c>
      <c r="I992" s="2">
        <v>20</v>
      </c>
      <c r="J992" s="15">
        <v>2150.8000000000002</v>
      </c>
    </row>
    <row r="993" spans="1:10" x14ac:dyDescent="0.3">
      <c r="A993" s="2" t="s">
        <v>1024</v>
      </c>
      <c r="B993" s="3">
        <v>45833</v>
      </c>
      <c r="C993" s="2" t="s">
        <v>22</v>
      </c>
      <c r="D993" s="2" t="s">
        <v>52</v>
      </c>
      <c r="E993" s="2" t="s">
        <v>20</v>
      </c>
      <c r="F993" s="2">
        <v>15</v>
      </c>
      <c r="G993" s="15">
        <v>374.01</v>
      </c>
      <c r="H993" s="15">
        <v>5610.15</v>
      </c>
      <c r="I993" s="2">
        <v>15</v>
      </c>
      <c r="J993" s="15">
        <v>4768.63</v>
      </c>
    </row>
    <row r="994" spans="1:10" x14ac:dyDescent="0.3">
      <c r="A994" s="2" t="s">
        <v>1025</v>
      </c>
      <c r="B994" s="3">
        <v>46003</v>
      </c>
      <c r="C994" s="2" t="s">
        <v>15</v>
      </c>
      <c r="D994" s="2" t="s">
        <v>23</v>
      </c>
      <c r="E994" s="2" t="s">
        <v>39</v>
      </c>
      <c r="F994" s="2">
        <v>7</v>
      </c>
      <c r="G994" s="15">
        <v>343.63</v>
      </c>
      <c r="H994" s="15">
        <v>2405.41</v>
      </c>
      <c r="I994" s="2">
        <v>5</v>
      </c>
      <c r="J994" s="15">
        <v>2285.14</v>
      </c>
    </row>
    <row r="995" spans="1:10" x14ac:dyDescent="0.3">
      <c r="A995" s="2" t="s">
        <v>1026</v>
      </c>
      <c r="B995" s="3">
        <v>45880</v>
      </c>
      <c r="C995" s="2" t="s">
        <v>11</v>
      </c>
      <c r="D995" s="2" t="s">
        <v>12</v>
      </c>
      <c r="E995" s="2" t="s">
        <v>33</v>
      </c>
      <c r="F995" s="2">
        <v>13</v>
      </c>
      <c r="G995" s="15">
        <v>70.430000000000007</v>
      </c>
      <c r="H995" s="15">
        <v>915.59</v>
      </c>
      <c r="I995" s="2">
        <v>20</v>
      </c>
      <c r="J995" s="15">
        <v>732.47</v>
      </c>
    </row>
    <row r="996" spans="1:10" x14ac:dyDescent="0.3">
      <c r="A996" s="2" t="s">
        <v>1027</v>
      </c>
      <c r="B996" s="3">
        <v>46030</v>
      </c>
      <c r="C996" s="2" t="s">
        <v>15</v>
      </c>
      <c r="D996" s="2" t="s">
        <v>16</v>
      </c>
      <c r="E996" s="2" t="s">
        <v>33</v>
      </c>
      <c r="F996" s="2">
        <v>15</v>
      </c>
      <c r="G996" s="15">
        <v>605.64</v>
      </c>
      <c r="H996" s="15">
        <v>9084.6</v>
      </c>
      <c r="I996" s="2">
        <v>5</v>
      </c>
      <c r="J996" s="15">
        <v>8630.3700000000008</v>
      </c>
    </row>
    <row r="997" spans="1:10" x14ac:dyDescent="0.3">
      <c r="A997" s="2" t="s">
        <v>1028</v>
      </c>
      <c r="B997" s="3">
        <v>45827</v>
      </c>
      <c r="C997" s="2" t="s">
        <v>11</v>
      </c>
      <c r="D997" s="2" t="s">
        <v>52</v>
      </c>
      <c r="E997" s="2" t="s">
        <v>76</v>
      </c>
      <c r="F997" s="2">
        <v>20</v>
      </c>
      <c r="G997" s="15">
        <v>290.60000000000002</v>
      </c>
      <c r="H997" s="15">
        <v>5812</v>
      </c>
      <c r="I997" s="2">
        <v>10</v>
      </c>
      <c r="J997" s="15">
        <v>5230.8</v>
      </c>
    </row>
    <row r="998" spans="1:10" x14ac:dyDescent="0.3">
      <c r="A998" s="2" t="s">
        <v>1029</v>
      </c>
      <c r="B998" s="3">
        <v>45810</v>
      </c>
      <c r="C998" s="2" t="s">
        <v>15</v>
      </c>
      <c r="D998" s="2" t="s">
        <v>29</v>
      </c>
      <c r="E998" s="2" t="s">
        <v>33</v>
      </c>
      <c r="F998" s="2">
        <v>5</v>
      </c>
      <c r="G998" s="15">
        <v>154.43</v>
      </c>
      <c r="H998" s="15">
        <v>772.15</v>
      </c>
      <c r="I998" s="2">
        <v>15</v>
      </c>
      <c r="J998" s="15">
        <v>656.33</v>
      </c>
    </row>
    <row r="999" spans="1:10" x14ac:dyDescent="0.3">
      <c r="A999" s="2" t="s">
        <v>1030</v>
      </c>
      <c r="B999" s="3">
        <v>45837</v>
      </c>
      <c r="C999" s="2" t="s">
        <v>15</v>
      </c>
      <c r="D999" s="2" t="s">
        <v>44</v>
      </c>
      <c r="E999" s="2" t="s">
        <v>87</v>
      </c>
      <c r="F999" s="2">
        <v>11</v>
      </c>
      <c r="G999" s="15">
        <v>81.12</v>
      </c>
      <c r="H999" s="15">
        <v>892.32</v>
      </c>
      <c r="I999" s="2">
        <v>10</v>
      </c>
      <c r="J999" s="15">
        <v>803.09</v>
      </c>
    </row>
    <row r="1000" spans="1:10" x14ac:dyDescent="0.3">
      <c r="A1000" s="2" t="s">
        <v>1031</v>
      </c>
      <c r="B1000" s="3">
        <v>46053</v>
      </c>
      <c r="C1000" s="2" t="s">
        <v>11</v>
      </c>
      <c r="D1000" s="2" t="s">
        <v>52</v>
      </c>
      <c r="E1000" s="2" t="s">
        <v>87</v>
      </c>
      <c r="F1000" s="2">
        <v>8</v>
      </c>
      <c r="G1000" s="15">
        <v>462.85</v>
      </c>
      <c r="H1000" s="15">
        <v>3702.8</v>
      </c>
      <c r="I1000" s="2">
        <v>10</v>
      </c>
      <c r="J1000" s="15">
        <v>3332.52</v>
      </c>
    </row>
    <row r="1001" spans="1:10" x14ac:dyDescent="0.3">
      <c r="A1001" s="2" t="s">
        <v>1032</v>
      </c>
      <c r="B1001" s="3">
        <v>46078</v>
      </c>
      <c r="C1001" s="2" t="s">
        <v>15</v>
      </c>
      <c r="D1001" s="2" t="s">
        <v>52</v>
      </c>
      <c r="E1001" s="2" t="s">
        <v>20</v>
      </c>
      <c r="F1001" s="2">
        <v>1</v>
      </c>
      <c r="G1001" s="15">
        <v>831.51</v>
      </c>
      <c r="H1001" s="15">
        <v>831.51</v>
      </c>
      <c r="I1001" s="2">
        <v>5</v>
      </c>
      <c r="J1001" s="15">
        <v>789.93</v>
      </c>
    </row>
    <row r="1002" spans="1:10" x14ac:dyDescent="0.3">
      <c r="A1002" s="2" t="s">
        <v>1033</v>
      </c>
      <c r="B1002" s="3">
        <v>45851</v>
      </c>
      <c r="C1002" s="2" t="s">
        <v>18</v>
      </c>
      <c r="D1002" s="2" t="s">
        <v>23</v>
      </c>
      <c r="E1002" s="2" t="s">
        <v>33</v>
      </c>
      <c r="F1002" s="2">
        <v>17</v>
      </c>
      <c r="G1002" s="15">
        <v>604.62</v>
      </c>
      <c r="H1002" s="15">
        <v>10278.540000000001</v>
      </c>
      <c r="I1002" s="2">
        <v>10</v>
      </c>
      <c r="J1002" s="15">
        <v>9250.69</v>
      </c>
    </row>
  </sheetData>
  <mergeCells count="1">
    <mergeCell ref="A1:J1"/>
  </mergeCells>
  <conditionalFormatting sqref="J2:J1048576">
    <cfRule type="cellIs" dxfId="12" priority="1" operator="greaterThan">
      <formula>10000</formula>
    </cfRule>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selection activeCell="A4" sqref="A4:F16"/>
    </sheetView>
  </sheetViews>
  <sheetFormatPr defaultRowHeight="14.4" x14ac:dyDescent="0.3"/>
  <cols>
    <col min="1" max="1" width="15.6640625" customWidth="1"/>
    <col min="2" max="2" width="15.5546875" customWidth="1"/>
    <col min="3" max="3" width="11" customWidth="1"/>
    <col min="4" max="4" width="11" bestFit="1" customWidth="1"/>
    <col min="5" max="5" width="11" customWidth="1"/>
    <col min="6" max="6" width="14.44140625" customWidth="1"/>
    <col min="7" max="7" width="4.6640625" customWidth="1"/>
    <col min="8" max="8" width="3.21875" customWidth="1"/>
    <col min="9" max="9" width="12.5546875" customWidth="1"/>
    <col min="10" max="10" width="21" customWidth="1"/>
    <col min="11" max="11" width="11" bestFit="1" customWidth="1"/>
    <col min="12" max="12" width="12.5546875" customWidth="1"/>
    <col min="13" max="13" width="15.77734375" customWidth="1"/>
    <col min="14" max="14" width="11" bestFit="1" customWidth="1"/>
  </cols>
  <sheetData>
    <row r="1" spans="1:13" ht="28.2" customHeight="1" x14ac:dyDescent="0.45">
      <c r="A1" s="27" t="s">
        <v>1057</v>
      </c>
      <c r="B1" s="27"/>
      <c r="C1" s="27"/>
      <c r="D1" s="27"/>
      <c r="E1" s="27"/>
      <c r="F1" s="27"/>
      <c r="G1" s="27"/>
      <c r="H1" s="27"/>
      <c r="I1" s="27"/>
      <c r="J1" s="27"/>
    </row>
    <row r="2" spans="1:13" x14ac:dyDescent="0.3">
      <c r="A2" s="26" t="s">
        <v>1054</v>
      </c>
      <c r="B2" s="26"/>
      <c r="C2" s="26"/>
      <c r="D2" s="26"/>
      <c r="E2" s="26"/>
      <c r="F2" s="26"/>
      <c r="I2" s="26" t="s">
        <v>1055</v>
      </c>
      <c r="J2" s="26"/>
      <c r="L2" s="26" t="s">
        <v>1059</v>
      </c>
      <c r="M2" s="26"/>
    </row>
    <row r="4" spans="1:13" x14ac:dyDescent="0.3">
      <c r="A4" s="4" t="s">
        <v>1037</v>
      </c>
      <c r="B4" s="4" t="s">
        <v>1036</v>
      </c>
      <c r="I4" s="4" t="s">
        <v>1034</v>
      </c>
      <c r="J4" t="s">
        <v>1037</v>
      </c>
      <c r="L4" s="4" t="s">
        <v>1034</v>
      </c>
      <c r="M4" t="s">
        <v>1037</v>
      </c>
    </row>
    <row r="5" spans="1:13" x14ac:dyDescent="0.3">
      <c r="A5" s="4" t="s">
        <v>1034</v>
      </c>
      <c r="B5" t="s">
        <v>22</v>
      </c>
      <c r="C5" t="s">
        <v>18</v>
      </c>
      <c r="D5" t="s">
        <v>15</v>
      </c>
      <c r="E5" t="s">
        <v>11</v>
      </c>
      <c r="F5" t="s">
        <v>1035</v>
      </c>
      <c r="I5" s="5" t="s">
        <v>44</v>
      </c>
      <c r="J5" s="9">
        <v>641169.91999999993</v>
      </c>
      <c r="L5" s="5" t="s">
        <v>60</v>
      </c>
      <c r="M5" s="9">
        <v>473193.87000000023</v>
      </c>
    </row>
    <row r="6" spans="1:13" x14ac:dyDescent="0.3">
      <c r="A6" s="5" t="s">
        <v>37</v>
      </c>
      <c r="B6" s="6">
        <v>106873</v>
      </c>
      <c r="C6" s="6">
        <v>96266.540000000008</v>
      </c>
      <c r="D6" s="6">
        <v>110413.60999999999</v>
      </c>
      <c r="E6" s="6">
        <v>92270.10000000002</v>
      </c>
      <c r="F6" s="8">
        <v>405823.25000000006</v>
      </c>
      <c r="I6" s="5" t="s">
        <v>29</v>
      </c>
      <c r="J6" s="9">
        <v>588632.46</v>
      </c>
      <c r="L6" s="5" t="s">
        <v>16</v>
      </c>
      <c r="M6" s="9">
        <v>456684.97000000003</v>
      </c>
    </row>
    <row r="7" spans="1:13" x14ac:dyDescent="0.3">
      <c r="A7" s="5" t="s">
        <v>87</v>
      </c>
      <c r="B7" s="6">
        <v>94503.540000000023</v>
      </c>
      <c r="C7" s="6">
        <v>113033.68</v>
      </c>
      <c r="D7" s="6">
        <v>181254.19999999998</v>
      </c>
      <c r="E7" s="6">
        <v>90218.07</v>
      </c>
      <c r="F7" s="8">
        <v>479009.49000000005</v>
      </c>
      <c r="I7" s="5" t="s">
        <v>12</v>
      </c>
      <c r="J7" s="9">
        <v>556428.65999999957</v>
      </c>
      <c r="L7" s="5" t="s">
        <v>32</v>
      </c>
      <c r="M7" s="9">
        <v>465602.4800000001</v>
      </c>
    </row>
    <row r="8" spans="1:13" x14ac:dyDescent="0.3">
      <c r="A8" s="5" t="s">
        <v>24</v>
      </c>
      <c r="B8" s="6">
        <v>185827.37999999998</v>
      </c>
      <c r="C8" s="6">
        <v>109834.03000000001</v>
      </c>
      <c r="D8" s="6">
        <v>130406.71999999996</v>
      </c>
      <c r="E8" s="6">
        <v>132736.56999999998</v>
      </c>
      <c r="F8" s="8">
        <v>558804.69999999995</v>
      </c>
      <c r="I8" s="5" t="s">
        <v>23</v>
      </c>
      <c r="J8" s="9">
        <v>508452.39000000007</v>
      </c>
      <c r="L8" s="5" t="s">
        <v>44</v>
      </c>
      <c r="M8" s="9">
        <v>641169.91999999993</v>
      </c>
    </row>
    <row r="9" spans="1:13" x14ac:dyDescent="0.3">
      <c r="A9" s="5" t="s">
        <v>76</v>
      </c>
      <c r="B9" s="6">
        <v>90863.13</v>
      </c>
      <c r="C9" s="6">
        <v>86359.489999999991</v>
      </c>
      <c r="D9" s="6">
        <v>197473.41000000003</v>
      </c>
      <c r="E9" s="6">
        <v>121069.53000000003</v>
      </c>
      <c r="F9" s="8">
        <v>495765.56000000006</v>
      </c>
      <c r="I9" s="5" t="s">
        <v>26</v>
      </c>
      <c r="J9" s="9">
        <v>488935.29</v>
      </c>
      <c r="L9" s="5" t="s">
        <v>29</v>
      </c>
      <c r="M9" s="9">
        <v>588632.46</v>
      </c>
    </row>
    <row r="10" spans="1:13" x14ac:dyDescent="0.3">
      <c r="A10" s="5" t="s">
        <v>33</v>
      </c>
      <c r="B10" s="6">
        <v>130508.29000000001</v>
      </c>
      <c r="C10" s="6">
        <v>138003.22000000003</v>
      </c>
      <c r="D10" s="6">
        <v>160161.15999999995</v>
      </c>
      <c r="E10" s="6">
        <v>119100.95000000001</v>
      </c>
      <c r="F10" s="8">
        <v>547773.61999999988</v>
      </c>
      <c r="I10" s="10" t="s">
        <v>1035</v>
      </c>
      <c r="J10" s="13">
        <v>2783618.7199999997</v>
      </c>
      <c r="L10" s="5" t="s">
        <v>12</v>
      </c>
      <c r="M10" s="9">
        <v>556428.65999999957</v>
      </c>
    </row>
    <row r="11" spans="1:13" x14ac:dyDescent="0.3">
      <c r="A11" s="5" t="s">
        <v>20</v>
      </c>
      <c r="B11" s="6">
        <v>136034.96</v>
      </c>
      <c r="C11" s="6">
        <v>107326.76</v>
      </c>
      <c r="D11" s="6">
        <v>93327.27</v>
      </c>
      <c r="E11" s="6">
        <v>114616.43999999999</v>
      </c>
      <c r="F11" s="8">
        <v>451305.43</v>
      </c>
      <c r="L11" s="5" t="s">
        <v>23</v>
      </c>
      <c r="M11" s="9">
        <v>508452.39000000007</v>
      </c>
    </row>
    <row r="12" spans="1:13" x14ac:dyDescent="0.3">
      <c r="A12" s="5" t="s">
        <v>13</v>
      </c>
      <c r="B12" s="6">
        <v>129331.42000000001</v>
      </c>
      <c r="C12" s="6">
        <v>103455.9</v>
      </c>
      <c r="D12" s="6">
        <v>173112.37999999998</v>
      </c>
      <c r="E12" s="6">
        <v>88999.799999999988</v>
      </c>
      <c r="F12" s="8">
        <v>494899.49999999994</v>
      </c>
      <c r="L12" s="5" t="s">
        <v>52</v>
      </c>
      <c r="M12" s="9">
        <v>444733.26000000007</v>
      </c>
    </row>
    <row r="13" spans="1:13" x14ac:dyDescent="0.3">
      <c r="A13" s="5" t="s">
        <v>27</v>
      </c>
      <c r="B13" s="6">
        <v>167102.03</v>
      </c>
      <c r="C13" s="6">
        <v>93325.479999999981</v>
      </c>
      <c r="D13" s="6">
        <v>141456.77999999997</v>
      </c>
      <c r="E13" s="6">
        <v>148836.79</v>
      </c>
      <c r="F13" s="8">
        <v>550721.07999999996</v>
      </c>
      <c r="I13" s="26" t="s">
        <v>1056</v>
      </c>
      <c r="J13" s="26"/>
      <c r="L13" s="5" t="s">
        <v>19</v>
      </c>
      <c r="M13" s="9">
        <v>411879.34999999986</v>
      </c>
    </row>
    <row r="14" spans="1:13" x14ac:dyDescent="0.3">
      <c r="A14" s="5" t="s">
        <v>39</v>
      </c>
      <c r="B14" s="6">
        <v>95181.049999999988</v>
      </c>
      <c r="C14" s="6">
        <v>138100.77999999997</v>
      </c>
      <c r="D14" s="6">
        <v>63278.239999999998</v>
      </c>
      <c r="E14" s="6">
        <v>160174.01</v>
      </c>
      <c r="F14" s="8">
        <v>456734.07999999996</v>
      </c>
      <c r="L14" s="5" t="s">
        <v>26</v>
      </c>
      <c r="M14" s="9">
        <v>488935.29</v>
      </c>
    </row>
    <row r="15" spans="1:13" x14ac:dyDescent="0.3">
      <c r="A15" s="5" t="s">
        <v>30</v>
      </c>
      <c r="B15" s="6">
        <v>145465.21</v>
      </c>
      <c r="C15" s="6">
        <v>113897.05</v>
      </c>
      <c r="D15" s="6">
        <v>173937.96000000005</v>
      </c>
      <c r="E15" s="6">
        <v>161575.71999999994</v>
      </c>
      <c r="F15" s="8">
        <v>594875.94000000006</v>
      </c>
      <c r="I15" s="4" t="s">
        <v>1034</v>
      </c>
      <c r="J15" t="s">
        <v>1037</v>
      </c>
      <c r="L15" s="10" t="s">
        <v>1035</v>
      </c>
      <c r="M15" s="13">
        <v>5035712.6500000004</v>
      </c>
    </row>
    <row r="16" spans="1:13" x14ac:dyDescent="0.3">
      <c r="A16" s="10" t="s">
        <v>1035</v>
      </c>
      <c r="B16" s="11">
        <v>1281690.01</v>
      </c>
      <c r="C16" s="11">
        <v>1099602.93</v>
      </c>
      <c r="D16" s="11">
        <v>1424821.7299999997</v>
      </c>
      <c r="E16" s="11">
        <v>1229597.98</v>
      </c>
      <c r="F16" s="12">
        <v>5035712.6500000004</v>
      </c>
      <c r="I16" s="5" t="s">
        <v>1040</v>
      </c>
      <c r="J16" s="9"/>
    </row>
    <row r="17" spans="1:10" x14ac:dyDescent="0.3">
      <c r="I17" s="16" t="s">
        <v>1041</v>
      </c>
      <c r="J17" s="9">
        <v>140362.73000000001</v>
      </c>
    </row>
    <row r="18" spans="1:10" x14ac:dyDescent="0.3">
      <c r="I18" s="16" t="s">
        <v>1042</v>
      </c>
      <c r="J18" s="9">
        <v>390977.1700000001</v>
      </c>
    </row>
    <row r="19" spans="1:10" x14ac:dyDescent="0.3">
      <c r="I19" s="16" t="s">
        <v>1043</v>
      </c>
      <c r="J19" s="9">
        <v>379131.66999999993</v>
      </c>
    </row>
    <row r="20" spans="1:10" x14ac:dyDescent="0.3">
      <c r="A20" s="5"/>
      <c r="B20" s="9"/>
      <c r="I20" s="16" t="s">
        <v>1044</v>
      </c>
      <c r="J20" s="9">
        <v>495213.06999999989</v>
      </c>
    </row>
    <row r="21" spans="1:10" x14ac:dyDescent="0.3">
      <c r="A21" s="5"/>
      <c r="B21" s="9"/>
      <c r="I21" s="16" t="s">
        <v>1045</v>
      </c>
      <c r="J21" s="9">
        <v>378277.18</v>
      </c>
    </row>
    <row r="22" spans="1:10" x14ac:dyDescent="0.3">
      <c r="A22" s="5"/>
      <c r="B22" s="9"/>
      <c r="I22" s="16" t="s">
        <v>1046</v>
      </c>
      <c r="J22" s="9">
        <v>452518.72999999981</v>
      </c>
    </row>
    <row r="23" spans="1:10" x14ac:dyDescent="0.3">
      <c r="A23" s="5"/>
      <c r="B23" s="9"/>
      <c r="I23" s="16" t="s">
        <v>1047</v>
      </c>
      <c r="J23" s="9">
        <v>461223.06999999995</v>
      </c>
    </row>
    <row r="24" spans="1:10" x14ac:dyDescent="0.3">
      <c r="A24" s="5"/>
      <c r="B24" s="9"/>
      <c r="I24" s="16" t="s">
        <v>1048</v>
      </c>
      <c r="J24" s="9">
        <v>390792.21000000014</v>
      </c>
    </row>
    <row r="25" spans="1:10" x14ac:dyDescent="0.3">
      <c r="A25" s="23"/>
      <c r="B25" s="24"/>
      <c r="I25" s="5" t="s">
        <v>1049</v>
      </c>
      <c r="J25" s="9"/>
    </row>
    <row r="26" spans="1:10" x14ac:dyDescent="0.3">
      <c r="I26" s="16" t="s">
        <v>1050</v>
      </c>
      <c r="J26" s="9">
        <v>469695.95</v>
      </c>
    </row>
    <row r="27" spans="1:10" x14ac:dyDescent="0.3">
      <c r="I27" s="16" t="s">
        <v>1051</v>
      </c>
      <c r="J27" s="9">
        <v>378006.26000000013</v>
      </c>
    </row>
    <row r="28" spans="1:10" x14ac:dyDescent="0.3">
      <c r="I28" s="16" t="s">
        <v>1052</v>
      </c>
      <c r="J28" s="9">
        <v>245400.33</v>
      </c>
    </row>
    <row r="29" spans="1:10" x14ac:dyDescent="0.3">
      <c r="I29" s="16" t="s">
        <v>1053</v>
      </c>
      <c r="J29" s="9">
        <v>566053.33000000007</v>
      </c>
    </row>
    <row r="30" spans="1:10" x14ac:dyDescent="0.3">
      <c r="I30" s="16" t="s">
        <v>1041</v>
      </c>
      <c r="J30" s="9">
        <v>288060.95000000007</v>
      </c>
    </row>
    <row r="31" spans="1:10" x14ac:dyDescent="0.3">
      <c r="I31" s="10" t="s">
        <v>1035</v>
      </c>
      <c r="J31" s="13">
        <v>5035712.6500000004</v>
      </c>
    </row>
  </sheetData>
  <mergeCells count="5">
    <mergeCell ref="A2:F2"/>
    <mergeCell ref="I2:J2"/>
    <mergeCell ref="I13:J13"/>
    <mergeCell ref="A1:J1"/>
    <mergeCell ref="L2:M2"/>
  </mergeCells>
  <pageMargins left="0.7" right="0.7" top="0.75" bottom="0.75" header="0.3" footer="0.3"/>
  <pageSetup paperSize="9" orientation="portrait" horizontalDpi="300" verticalDpi="300"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4"/>
  <sheetViews>
    <sheetView topLeftCell="A10" workbookViewId="0">
      <selection activeCell="M3" sqref="M3:N14"/>
    </sheetView>
  </sheetViews>
  <sheetFormatPr defaultRowHeight="14.4" x14ac:dyDescent="0.3"/>
  <cols>
    <col min="1" max="1" width="12.5546875" bestFit="1" customWidth="1"/>
    <col min="2" max="2" width="15.77734375" bestFit="1" customWidth="1"/>
    <col min="4" max="4" width="12.5546875" customWidth="1"/>
    <col min="5" max="5" width="15.77734375" customWidth="1"/>
    <col min="7" max="7" width="12.5546875" customWidth="1"/>
    <col min="8" max="8" width="15.77734375" bestFit="1" customWidth="1"/>
    <col min="10" max="10" width="12.5546875" customWidth="1"/>
    <col min="11" max="11" width="17.21875" style="9" customWidth="1"/>
    <col min="13" max="13" width="12.5546875" customWidth="1"/>
    <col min="14" max="14" width="17.21875" customWidth="1"/>
  </cols>
  <sheetData>
    <row r="1" spans="1:14" ht="23.4" x14ac:dyDescent="0.45">
      <c r="A1" s="27" t="s">
        <v>1057</v>
      </c>
      <c r="B1" s="27"/>
      <c r="C1" s="27"/>
      <c r="D1" s="27"/>
      <c r="E1" s="27"/>
      <c r="F1" s="27"/>
      <c r="G1" s="27"/>
      <c r="H1" s="27"/>
      <c r="I1" s="27"/>
      <c r="J1" s="27"/>
      <c r="K1" s="18"/>
    </row>
    <row r="2" spans="1:14" x14ac:dyDescent="0.3">
      <c r="J2" s="17"/>
      <c r="K2" s="19"/>
    </row>
    <row r="3" spans="1:14" x14ac:dyDescent="0.3">
      <c r="A3" s="4" t="s">
        <v>1034</v>
      </c>
      <c r="B3" t="s">
        <v>1037</v>
      </c>
      <c r="D3" s="4" t="s">
        <v>1034</v>
      </c>
      <c r="E3" t="s">
        <v>1037</v>
      </c>
      <c r="G3" s="4" t="s">
        <v>1034</v>
      </c>
      <c r="H3" t="s">
        <v>1037</v>
      </c>
      <c r="K3"/>
      <c r="M3" s="4" t="s">
        <v>1034</v>
      </c>
      <c r="N3" t="s">
        <v>1062</v>
      </c>
    </row>
    <row r="4" spans="1:14" x14ac:dyDescent="0.3">
      <c r="A4" s="5" t="s">
        <v>22</v>
      </c>
      <c r="B4" s="6">
        <v>1281690.0100000002</v>
      </c>
      <c r="D4" s="5" t="s">
        <v>37</v>
      </c>
      <c r="E4" s="6">
        <v>405823.25000000006</v>
      </c>
      <c r="G4" s="5" t="s">
        <v>1040</v>
      </c>
      <c r="H4" s="6"/>
      <c r="J4" s="21"/>
      <c r="K4" s="17"/>
      <c r="M4" s="5" t="s">
        <v>37</v>
      </c>
      <c r="N4" s="6">
        <v>97</v>
      </c>
    </row>
    <row r="5" spans="1:14" x14ac:dyDescent="0.3">
      <c r="A5" s="5" t="s">
        <v>18</v>
      </c>
      <c r="B5" s="6">
        <v>1099602.9299999997</v>
      </c>
      <c r="D5" s="5" t="s">
        <v>87</v>
      </c>
      <c r="E5" s="6">
        <v>479009.48999999993</v>
      </c>
      <c r="G5" s="16" t="s">
        <v>1041</v>
      </c>
      <c r="H5" s="6">
        <v>140362.73000000001</v>
      </c>
      <c r="J5" s="22"/>
      <c r="K5" s="19"/>
      <c r="M5" s="5" t="s">
        <v>87</v>
      </c>
      <c r="N5" s="6">
        <v>89</v>
      </c>
    </row>
    <row r="6" spans="1:14" x14ac:dyDescent="0.3">
      <c r="A6" s="5" t="s">
        <v>15</v>
      </c>
      <c r="B6" s="6">
        <v>1424821.73</v>
      </c>
      <c r="D6" s="5" t="s">
        <v>24</v>
      </c>
      <c r="E6" s="6">
        <v>558804.70000000019</v>
      </c>
      <c r="G6" s="16" t="s">
        <v>1042</v>
      </c>
      <c r="H6" s="6">
        <v>390977.1700000001</v>
      </c>
      <c r="J6" s="22"/>
      <c r="K6" s="19"/>
      <c r="M6" s="5" t="s">
        <v>24</v>
      </c>
      <c r="N6" s="6">
        <v>122</v>
      </c>
    </row>
    <row r="7" spans="1:14" x14ac:dyDescent="0.3">
      <c r="A7" s="5" t="s">
        <v>11</v>
      </c>
      <c r="B7" s="6">
        <v>1229597.9800000002</v>
      </c>
      <c r="D7" s="5" t="s">
        <v>76</v>
      </c>
      <c r="E7" s="6">
        <v>495765.55999999976</v>
      </c>
      <c r="G7" s="16" t="s">
        <v>1043</v>
      </c>
      <c r="H7" s="6">
        <v>379131.66999999993</v>
      </c>
      <c r="J7" s="22"/>
      <c r="K7" s="19"/>
      <c r="M7" s="5" t="s">
        <v>76</v>
      </c>
      <c r="N7" s="6">
        <v>102</v>
      </c>
    </row>
    <row r="8" spans="1:14" x14ac:dyDescent="0.3">
      <c r="A8" s="5" t="s">
        <v>1035</v>
      </c>
      <c r="B8" s="6">
        <v>5035712.6500000004</v>
      </c>
      <c r="D8" s="5" t="s">
        <v>33</v>
      </c>
      <c r="E8" s="6">
        <v>547773.61999999976</v>
      </c>
      <c r="G8" s="16" t="s">
        <v>1044</v>
      </c>
      <c r="H8" s="6">
        <v>495213.06999999989</v>
      </c>
      <c r="J8" s="22"/>
      <c r="K8" s="19"/>
      <c r="M8" s="5" t="s">
        <v>33</v>
      </c>
      <c r="N8" s="6">
        <v>102</v>
      </c>
    </row>
    <row r="9" spans="1:14" x14ac:dyDescent="0.3">
      <c r="D9" s="5" t="s">
        <v>20</v>
      </c>
      <c r="E9" s="6">
        <v>451305.43000000023</v>
      </c>
      <c r="G9" s="16" t="s">
        <v>1045</v>
      </c>
      <c r="H9" s="6">
        <v>378277.18</v>
      </c>
      <c r="J9" s="4" t="s">
        <v>1034</v>
      </c>
      <c r="K9" t="s">
        <v>1062</v>
      </c>
      <c r="M9" s="5" t="s">
        <v>20</v>
      </c>
      <c r="N9" s="6">
        <v>88</v>
      </c>
    </row>
    <row r="10" spans="1:14" x14ac:dyDescent="0.3">
      <c r="D10" s="5" t="s">
        <v>13</v>
      </c>
      <c r="E10" s="6">
        <v>494899.49999999994</v>
      </c>
      <c r="G10" s="16" t="s">
        <v>1046</v>
      </c>
      <c r="H10" s="6">
        <v>452518.72999999981</v>
      </c>
      <c r="J10" s="5" t="s">
        <v>22</v>
      </c>
      <c r="K10" s="6">
        <v>250</v>
      </c>
      <c r="M10" s="5" t="s">
        <v>13</v>
      </c>
      <c r="N10" s="6">
        <v>100</v>
      </c>
    </row>
    <row r="11" spans="1:14" x14ac:dyDescent="0.3">
      <c r="D11" s="5" t="s">
        <v>27</v>
      </c>
      <c r="E11" s="6">
        <v>550721.08000000007</v>
      </c>
      <c r="G11" s="16" t="s">
        <v>1047</v>
      </c>
      <c r="H11" s="6">
        <v>461223.06999999995</v>
      </c>
      <c r="J11" s="5" t="s">
        <v>18</v>
      </c>
      <c r="K11" s="6">
        <v>227</v>
      </c>
      <c r="M11" s="5" t="s">
        <v>27</v>
      </c>
      <c r="N11" s="6">
        <v>101</v>
      </c>
    </row>
    <row r="12" spans="1:14" x14ac:dyDescent="0.3">
      <c r="D12" s="5" t="s">
        <v>39</v>
      </c>
      <c r="E12" s="6">
        <v>456734.08000000013</v>
      </c>
      <c r="G12" s="16" t="s">
        <v>1048</v>
      </c>
      <c r="H12" s="6">
        <v>390792.21000000014</v>
      </c>
      <c r="J12" s="5" t="s">
        <v>15</v>
      </c>
      <c r="K12" s="6">
        <v>281</v>
      </c>
      <c r="M12" s="5" t="s">
        <v>39</v>
      </c>
      <c r="N12" s="6">
        <v>98</v>
      </c>
    </row>
    <row r="13" spans="1:14" x14ac:dyDescent="0.3">
      <c r="D13" s="5" t="s">
        <v>30</v>
      </c>
      <c r="E13" s="6">
        <v>594875.93999999994</v>
      </c>
      <c r="G13" s="5" t="s">
        <v>1049</v>
      </c>
      <c r="H13" s="6"/>
      <c r="J13" s="5" t="s">
        <v>11</v>
      </c>
      <c r="K13" s="6">
        <v>242</v>
      </c>
      <c r="M13" s="5" t="s">
        <v>30</v>
      </c>
      <c r="N13" s="6">
        <v>101</v>
      </c>
    </row>
    <row r="14" spans="1:14" x14ac:dyDescent="0.3">
      <c r="D14" s="5" t="s">
        <v>1035</v>
      </c>
      <c r="E14" s="6">
        <v>5035712.6500000004</v>
      </c>
      <c r="G14" s="16" t="s">
        <v>1050</v>
      </c>
      <c r="H14" s="6">
        <v>469695.95</v>
      </c>
      <c r="J14" s="5" t="s">
        <v>1035</v>
      </c>
      <c r="K14" s="6">
        <v>1000</v>
      </c>
      <c r="M14" s="5" t="s">
        <v>1035</v>
      </c>
      <c r="N14" s="6">
        <v>1000</v>
      </c>
    </row>
    <row r="15" spans="1:14" x14ac:dyDescent="0.3">
      <c r="G15" s="16" t="s">
        <v>1051</v>
      </c>
      <c r="H15" s="6">
        <v>378006.26000000013</v>
      </c>
      <c r="J15" s="22"/>
      <c r="K15" s="19"/>
    </row>
    <row r="16" spans="1:14" x14ac:dyDescent="0.3">
      <c r="G16" s="16" t="s">
        <v>1052</v>
      </c>
      <c r="H16" s="6">
        <v>245400.33</v>
      </c>
      <c r="J16" s="22"/>
      <c r="K16" s="19"/>
    </row>
    <row r="17" spans="7:11" x14ac:dyDescent="0.3">
      <c r="G17" s="16" t="s">
        <v>1053</v>
      </c>
      <c r="H17" s="6">
        <v>566053.33000000007</v>
      </c>
      <c r="J17" s="22"/>
      <c r="K17" s="19"/>
    </row>
    <row r="18" spans="7:11" x14ac:dyDescent="0.3">
      <c r="G18" s="16" t="s">
        <v>1041</v>
      </c>
      <c r="H18" s="6">
        <v>288060.95000000007</v>
      </c>
      <c r="J18" s="22"/>
      <c r="K18" s="19"/>
    </row>
    <row r="19" spans="7:11" x14ac:dyDescent="0.3">
      <c r="G19" s="5" t="s">
        <v>1035</v>
      </c>
      <c r="H19" s="6">
        <v>5035712.6500000004</v>
      </c>
      <c r="J19" s="22"/>
      <c r="K19" s="19"/>
    </row>
    <row r="20" spans="7:11" x14ac:dyDescent="0.3">
      <c r="J20" s="22"/>
      <c r="K20" s="19"/>
    </row>
    <row r="21" spans="7:11" x14ac:dyDescent="0.3">
      <c r="J21" s="22"/>
      <c r="K21" s="19"/>
    </row>
    <row r="22" spans="7:11" x14ac:dyDescent="0.3">
      <c r="J22" s="22"/>
      <c r="K22" s="19"/>
    </row>
    <row r="23" spans="7:11" x14ac:dyDescent="0.3">
      <c r="J23" s="22"/>
      <c r="K23" s="19"/>
    </row>
    <row r="24" spans="7:11" x14ac:dyDescent="0.3">
      <c r="J24" s="22"/>
      <c r="K24" s="19"/>
    </row>
    <row r="25" spans="7:11" x14ac:dyDescent="0.3">
      <c r="J25" s="22"/>
      <c r="K25" s="19"/>
    </row>
    <row r="26" spans="7:11" x14ac:dyDescent="0.3">
      <c r="J26" s="22"/>
      <c r="K26" s="19"/>
    </row>
    <row r="27" spans="7:11" x14ac:dyDescent="0.3">
      <c r="J27" s="22"/>
      <c r="K27" s="19"/>
    </row>
    <row r="28" spans="7:11" x14ac:dyDescent="0.3">
      <c r="J28" s="22"/>
      <c r="K28" s="19"/>
    </row>
    <row r="29" spans="7:11" x14ac:dyDescent="0.3">
      <c r="J29" s="22"/>
      <c r="K29" s="19"/>
    </row>
    <row r="30" spans="7:11" x14ac:dyDescent="0.3">
      <c r="J30" s="22"/>
      <c r="K30" s="19"/>
    </row>
    <row r="31" spans="7:11" x14ac:dyDescent="0.3">
      <c r="J31" s="22"/>
      <c r="K31" s="19"/>
    </row>
    <row r="32" spans="7:11" x14ac:dyDescent="0.3">
      <c r="J32" s="22"/>
      <c r="K32" s="19"/>
    </row>
    <row r="33" spans="10:11" x14ac:dyDescent="0.3">
      <c r="J33" s="22"/>
      <c r="K33" s="19"/>
    </row>
    <row r="34" spans="10:11" x14ac:dyDescent="0.3">
      <c r="J34" s="22"/>
      <c r="K34" s="19"/>
    </row>
    <row r="35" spans="10:11" x14ac:dyDescent="0.3">
      <c r="J35" s="22"/>
      <c r="K35" s="19"/>
    </row>
    <row r="36" spans="10:11" x14ac:dyDescent="0.3">
      <c r="J36" s="22"/>
      <c r="K36" s="19"/>
    </row>
    <row r="37" spans="10:11" x14ac:dyDescent="0.3">
      <c r="J37" s="22"/>
      <c r="K37" s="19"/>
    </row>
    <row r="38" spans="10:11" x14ac:dyDescent="0.3">
      <c r="J38" s="22"/>
      <c r="K38" s="19"/>
    </row>
    <row r="39" spans="10:11" x14ac:dyDescent="0.3">
      <c r="J39" s="22"/>
      <c r="K39" s="19"/>
    </row>
    <row r="40" spans="10:11" x14ac:dyDescent="0.3">
      <c r="J40" s="22"/>
      <c r="K40" s="19"/>
    </row>
    <row r="41" spans="10:11" x14ac:dyDescent="0.3">
      <c r="J41" s="22"/>
      <c r="K41" s="19"/>
    </row>
    <row r="42" spans="10:11" x14ac:dyDescent="0.3">
      <c r="J42" s="22"/>
      <c r="K42" s="19"/>
    </row>
    <row r="43" spans="10:11" x14ac:dyDescent="0.3">
      <c r="J43" s="22"/>
      <c r="K43" s="19"/>
    </row>
    <row r="44" spans="10:11" x14ac:dyDescent="0.3">
      <c r="J44" s="22"/>
      <c r="K44" s="19"/>
    </row>
    <row r="45" spans="10:11" x14ac:dyDescent="0.3">
      <c r="J45" s="22"/>
      <c r="K45" s="19"/>
    </row>
    <row r="46" spans="10:11" x14ac:dyDescent="0.3">
      <c r="J46" s="22"/>
      <c r="K46" s="19"/>
    </row>
    <row r="47" spans="10:11" x14ac:dyDescent="0.3">
      <c r="J47" s="22"/>
      <c r="K47" s="19"/>
    </row>
    <row r="48" spans="10:11" x14ac:dyDescent="0.3">
      <c r="J48" s="22"/>
      <c r="K48" s="19"/>
    </row>
    <row r="49" spans="10:11" x14ac:dyDescent="0.3">
      <c r="J49" s="22"/>
      <c r="K49" s="19"/>
    </row>
    <row r="50" spans="10:11" x14ac:dyDescent="0.3">
      <c r="J50" s="22"/>
      <c r="K50" s="19"/>
    </row>
    <row r="51" spans="10:11" x14ac:dyDescent="0.3">
      <c r="J51" s="22"/>
      <c r="K51" s="19"/>
    </row>
    <row r="52" spans="10:11" x14ac:dyDescent="0.3">
      <c r="J52" s="22"/>
      <c r="K52" s="19"/>
    </row>
    <row r="53" spans="10:11" x14ac:dyDescent="0.3">
      <c r="J53" s="22"/>
      <c r="K53" s="19"/>
    </row>
    <row r="54" spans="10:11" x14ac:dyDescent="0.3">
      <c r="J54" s="22"/>
      <c r="K54" s="19"/>
    </row>
    <row r="55" spans="10:11" x14ac:dyDescent="0.3">
      <c r="J55" s="22"/>
      <c r="K55" s="19"/>
    </row>
    <row r="56" spans="10:11" x14ac:dyDescent="0.3">
      <c r="J56" s="22"/>
      <c r="K56" s="19"/>
    </row>
    <row r="57" spans="10:11" x14ac:dyDescent="0.3">
      <c r="J57" s="22"/>
      <c r="K57" s="19"/>
    </row>
    <row r="58" spans="10:11" x14ac:dyDescent="0.3">
      <c r="J58" s="22"/>
      <c r="K58" s="19"/>
    </row>
    <row r="59" spans="10:11" x14ac:dyDescent="0.3">
      <c r="J59" s="22"/>
      <c r="K59" s="19"/>
    </row>
    <row r="60" spans="10:11" x14ac:dyDescent="0.3">
      <c r="J60" s="22"/>
      <c r="K60" s="19"/>
    </row>
    <row r="61" spans="10:11" x14ac:dyDescent="0.3">
      <c r="J61" s="22"/>
      <c r="K61" s="19"/>
    </row>
    <row r="62" spans="10:11" x14ac:dyDescent="0.3">
      <c r="J62" s="22"/>
      <c r="K62" s="19"/>
    </row>
    <row r="63" spans="10:11" x14ac:dyDescent="0.3">
      <c r="J63" s="22"/>
      <c r="K63" s="19"/>
    </row>
    <row r="64" spans="10:11" x14ac:dyDescent="0.3">
      <c r="J64" s="22"/>
      <c r="K64" s="19"/>
    </row>
    <row r="65" spans="10:11" x14ac:dyDescent="0.3">
      <c r="J65" s="22"/>
      <c r="K65" s="19"/>
    </row>
    <row r="66" spans="10:11" x14ac:dyDescent="0.3">
      <c r="J66" s="22"/>
      <c r="K66" s="19"/>
    </row>
    <row r="67" spans="10:11" x14ac:dyDescent="0.3">
      <c r="J67" s="22"/>
      <c r="K67" s="19"/>
    </row>
    <row r="68" spans="10:11" x14ac:dyDescent="0.3">
      <c r="J68" s="22"/>
      <c r="K68" s="19"/>
    </row>
    <row r="69" spans="10:11" x14ac:dyDescent="0.3">
      <c r="J69" s="22"/>
      <c r="K69" s="19"/>
    </row>
    <row r="70" spans="10:11" x14ac:dyDescent="0.3">
      <c r="J70" s="22"/>
      <c r="K70" s="19"/>
    </row>
    <row r="71" spans="10:11" x14ac:dyDescent="0.3">
      <c r="J71" s="22"/>
      <c r="K71" s="19"/>
    </row>
    <row r="72" spans="10:11" x14ac:dyDescent="0.3">
      <c r="J72" s="22"/>
      <c r="K72" s="19"/>
    </row>
    <row r="73" spans="10:11" x14ac:dyDescent="0.3">
      <c r="J73" s="22"/>
      <c r="K73" s="19"/>
    </row>
    <row r="74" spans="10:11" x14ac:dyDescent="0.3">
      <c r="J74" s="22"/>
      <c r="K74" s="19"/>
    </row>
    <row r="75" spans="10:11" x14ac:dyDescent="0.3">
      <c r="J75" s="22"/>
      <c r="K75" s="19"/>
    </row>
    <row r="76" spans="10:11" x14ac:dyDescent="0.3">
      <c r="J76" s="22"/>
      <c r="K76" s="19"/>
    </row>
    <row r="77" spans="10:11" x14ac:dyDescent="0.3">
      <c r="J77" s="22"/>
      <c r="K77" s="19"/>
    </row>
    <row r="78" spans="10:11" x14ac:dyDescent="0.3">
      <c r="J78" s="22"/>
      <c r="K78" s="19"/>
    </row>
    <row r="79" spans="10:11" x14ac:dyDescent="0.3">
      <c r="J79" s="22"/>
      <c r="K79" s="19"/>
    </row>
    <row r="80" spans="10:11" x14ac:dyDescent="0.3">
      <c r="J80" s="22"/>
      <c r="K80" s="19"/>
    </row>
    <row r="81" spans="10:11" x14ac:dyDescent="0.3">
      <c r="J81" s="22"/>
      <c r="K81" s="19"/>
    </row>
    <row r="82" spans="10:11" x14ac:dyDescent="0.3">
      <c r="J82" s="22"/>
      <c r="K82" s="19"/>
    </row>
    <row r="83" spans="10:11" x14ac:dyDescent="0.3">
      <c r="J83" s="22"/>
      <c r="K83" s="19"/>
    </row>
    <row r="84" spans="10:11" x14ac:dyDescent="0.3">
      <c r="J84" s="22"/>
      <c r="K84" s="19"/>
    </row>
    <row r="85" spans="10:11" x14ac:dyDescent="0.3">
      <c r="J85" s="22"/>
      <c r="K85" s="19"/>
    </row>
    <row r="86" spans="10:11" x14ac:dyDescent="0.3">
      <c r="J86" s="22"/>
      <c r="K86" s="19"/>
    </row>
    <row r="87" spans="10:11" x14ac:dyDescent="0.3">
      <c r="J87" s="22"/>
      <c r="K87" s="19"/>
    </row>
    <row r="88" spans="10:11" x14ac:dyDescent="0.3">
      <c r="J88" s="22"/>
      <c r="K88" s="19"/>
    </row>
    <row r="89" spans="10:11" x14ac:dyDescent="0.3">
      <c r="J89" s="22"/>
      <c r="K89" s="19"/>
    </row>
    <row r="90" spans="10:11" x14ac:dyDescent="0.3">
      <c r="J90" s="22"/>
      <c r="K90" s="19"/>
    </row>
    <row r="91" spans="10:11" x14ac:dyDescent="0.3">
      <c r="J91" s="22"/>
      <c r="K91" s="19"/>
    </row>
    <row r="92" spans="10:11" x14ac:dyDescent="0.3">
      <c r="J92" s="22"/>
      <c r="K92" s="19"/>
    </row>
    <row r="93" spans="10:11" x14ac:dyDescent="0.3">
      <c r="J93" s="22"/>
      <c r="K93" s="19"/>
    </row>
    <row r="94" spans="10:11" x14ac:dyDescent="0.3">
      <c r="J94" s="22"/>
      <c r="K94" s="19"/>
    </row>
    <row r="95" spans="10:11" x14ac:dyDescent="0.3">
      <c r="J95" s="22"/>
      <c r="K95" s="19"/>
    </row>
    <row r="96" spans="10:11" x14ac:dyDescent="0.3">
      <c r="J96" s="22"/>
      <c r="K96" s="19"/>
    </row>
    <row r="97" spans="10:11" x14ac:dyDescent="0.3">
      <c r="J97" s="22"/>
      <c r="K97" s="19"/>
    </row>
    <row r="98" spans="10:11" x14ac:dyDescent="0.3">
      <c r="J98" s="22"/>
      <c r="K98" s="19"/>
    </row>
    <row r="99" spans="10:11" x14ac:dyDescent="0.3">
      <c r="J99" s="22"/>
      <c r="K99" s="19"/>
    </row>
    <row r="100" spans="10:11" x14ac:dyDescent="0.3">
      <c r="J100" s="22"/>
      <c r="K100" s="19"/>
    </row>
    <row r="101" spans="10:11" x14ac:dyDescent="0.3">
      <c r="J101" s="22"/>
      <c r="K101" s="19"/>
    </row>
    <row r="102" spans="10:11" x14ac:dyDescent="0.3">
      <c r="J102" s="22"/>
      <c r="K102" s="19"/>
    </row>
    <row r="103" spans="10:11" x14ac:dyDescent="0.3">
      <c r="J103" s="22"/>
      <c r="K103" s="19"/>
    </row>
    <row r="104" spans="10:11" x14ac:dyDescent="0.3">
      <c r="J104" s="22"/>
      <c r="K104" s="19"/>
    </row>
    <row r="105" spans="10:11" x14ac:dyDescent="0.3">
      <c r="J105" s="22"/>
      <c r="K105" s="19"/>
    </row>
    <row r="106" spans="10:11" x14ac:dyDescent="0.3">
      <c r="J106" s="22"/>
      <c r="K106" s="19"/>
    </row>
    <row r="107" spans="10:11" x14ac:dyDescent="0.3">
      <c r="J107" s="22"/>
      <c r="K107" s="19"/>
    </row>
    <row r="108" spans="10:11" x14ac:dyDescent="0.3">
      <c r="J108" s="22"/>
      <c r="K108" s="19"/>
    </row>
    <row r="109" spans="10:11" x14ac:dyDescent="0.3">
      <c r="J109" s="22"/>
      <c r="K109" s="19"/>
    </row>
    <row r="110" spans="10:11" x14ac:dyDescent="0.3">
      <c r="J110" s="22"/>
      <c r="K110" s="19"/>
    </row>
    <row r="111" spans="10:11" x14ac:dyDescent="0.3">
      <c r="J111" s="22"/>
      <c r="K111" s="19"/>
    </row>
    <row r="112" spans="10:11" x14ac:dyDescent="0.3">
      <c r="J112" s="22"/>
      <c r="K112" s="19"/>
    </row>
    <row r="113" spans="10:11" x14ac:dyDescent="0.3">
      <c r="J113" s="22"/>
      <c r="K113" s="19"/>
    </row>
    <row r="114" spans="10:11" x14ac:dyDescent="0.3">
      <c r="J114" s="22"/>
      <c r="K114" s="19"/>
    </row>
    <row r="115" spans="10:11" x14ac:dyDescent="0.3">
      <c r="J115" s="22"/>
      <c r="K115" s="19"/>
    </row>
    <row r="116" spans="10:11" x14ac:dyDescent="0.3">
      <c r="J116" s="22"/>
      <c r="K116" s="19"/>
    </row>
    <row r="117" spans="10:11" x14ac:dyDescent="0.3">
      <c r="J117" s="22"/>
      <c r="K117" s="19"/>
    </row>
    <row r="118" spans="10:11" x14ac:dyDescent="0.3">
      <c r="J118" s="22"/>
      <c r="K118" s="19"/>
    </row>
    <row r="119" spans="10:11" x14ac:dyDescent="0.3">
      <c r="J119" s="22"/>
      <c r="K119" s="19"/>
    </row>
    <row r="120" spans="10:11" x14ac:dyDescent="0.3">
      <c r="J120" s="22"/>
      <c r="K120" s="19"/>
    </row>
    <row r="121" spans="10:11" x14ac:dyDescent="0.3">
      <c r="J121" s="22"/>
      <c r="K121" s="19"/>
    </row>
    <row r="122" spans="10:11" x14ac:dyDescent="0.3">
      <c r="J122" s="22"/>
      <c r="K122" s="19"/>
    </row>
    <row r="123" spans="10:11" x14ac:dyDescent="0.3">
      <c r="J123" s="22"/>
      <c r="K123" s="19"/>
    </row>
    <row r="124" spans="10:11" x14ac:dyDescent="0.3">
      <c r="J124" s="22"/>
      <c r="K124" s="19"/>
    </row>
    <row r="125" spans="10:11" x14ac:dyDescent="0.3">
      <c r="J125" s="22"/>
      <c r="K125" s="19"/>
    </row>
    <row r="126" spans="10:11" x14ac:dyDescent="0.3">
      <c r="J126" s="22"/>
      <c r="K126" s="19"/>
    </row>
    <row r="127" spans="10:11" x14ac:dyDescent="0.3">
      <c r="J127" s="22"/>
      <c r="K127" s="19"/>
    </row>
    <row r="128" spans="10:11" x14ac:dyDescent="0.3">
      <c r="J128" s="22"/>
      <c r="K128" s="19"/>
    </row>
    <row r="129" spans="10:11" x14ac:dyDescent="0.3">
      <c r="J129" s="22"/>
      <c r="K129" s="19"/>
    </row>
    <row r="130" spans="10:11" x14ac:dyDescent="0.3">
      <c r="J130" s="22"/>
      <c r="K130" s="19"/>
    </row>
    <row r="131" spans="10:11" x14ac:dyDescent="0.3">
      <c r="J131" s="22"/>
      <c r="K131" s="19"/>
    </row>
    <row r="132" spans="10:11" x14ac:dyDescent="0.3">
      <c r="J132" s="22"/>
      <c r="K132" s="19"/>
    </row>
    <row r="133" spans="10:11" x14ac:dyDescent="0.3">
      <c r="J133" s="22"/>
      <c r="K133" s="19"/>
    </row>
    <row r="134" spans="10:11" x14ac:dyDescent="0.3">
      <c r="J134" s="22"/>
      <c r="K134" s="19"/>
    </row>
    <row r="135" spans="10:11" x14ac:dyDescent="0.3">
      <c r="J135" s="22"/>
      <c r="K135" s="19"/>
    </row>
    <row r="136" spans="10:11" x14ac:dyDescent="0.3">
      <c r="J136" s="22"/>
      <c r="K136" s="19"/>
    </row>
    <row r="137" spans="10:11" x14ac:dyDescent="0.3">
      <c r="J137" s="22"/>
      <c r="K137" s="19"/>
    </row>
    <row r="138" spans="10:11" x14ac:dyDescent="0.3">
      <c r="J138" s="22"/>
      <c r="K138" s="19"/>
    </row>
    <row r="139" spans="10:11" x14ac:dyDescent="0.3">
      <c r="J139" s="22"/>
      <c r="K139" s="19"/>
    </row>
    <row r="140" spans="10:11" x14ac:dyDescent="0.3">
      <c r="J140" s="22"/>
      <c r="K140" s="19"/>
    </row>
    <row r="141" spans="10:11" x14ac:dyDescent="0.3">
      <c r="J141" s="22"/>
      <c r="K141" s="19"/>
    </row>
    <row r="142" spans="10:11" x14ac:dyDescent="0.3">
      <c r="J142" s="22"/>
      <c r="K142" s="19"/>
    </row>
    <row r="143" spans="10:11" x14ac:dyDescent="0.3">
      <c r="J143" s="22"/>
      <c r="K143" s="19"/>
    </row>
    <row r="144" spans="10:11" x14ac:dyDescent="0.3">
      <c r="J144" s="22"/>
      <c r="K144" s="19"/>
    </row>
    <row r="145" spans="10:11" x14ac:dyDescent="0.3">
      <c r="J145" s="22"/>
      <c r="K145" s="19"/>
    </row>
    <row r="146" spans="10:11" x14ac:dyDescent="0.3">
      <c r="J146" s="22"/>
      <c r="K146" s="19"/>
    </row>
    <row r="147" spans="10:11" x14ac:dyDescent="0.3">
      <c r="J147" s="22"/>
      <c r="K147" s="19"/>
    </row>
    <row r="148" spans="10:11" x14ac:dyDescent="0.3">
      <c r="J148" s="22"/>
      <c r="K148" s="19"/>
    </row>
    <row r="149" spans="10:11" x14ac:dyDescent="0.3">
      <c r="J149" s="22"/>
      <c r="K149" s="19"/>
    </row>
    <row r="150" spans="10:11" x14ac:dyDescent="0.3">
      <c r="J150" s="22"/>
      <c r="K150" s="19"/>
    </row>
    <row r="151" spans="10:11" x14ac:dyDescent="0.3">
      <c r="J151" s="22"/>
      <c r="K151" s="19"/>
    </row>
    <row r="152" spans="10:11" x14ac:dyDescent="0.3">
      <c r="J152" s="22"/>
      <c r="K152" s="19"/>
    </row>
    <row r="153" spans="10:11" x14ac:dyDescent="0.3">
      <c r="J153" s="22"/>
      <c r="K153" s="19"/>
    </row>
    <row r="154" spans="10:11" x14ac:dyDescent="0.3">
      <c r="J154" s="22"/>
      <c r="K154" s="19"/>
    </row>
    <row r="155" spans="10:11" x14ac:dyDescent="0.3">
      <c r="J155" s="22"/>
      <c r="K155" s="19"/>
    </row>
    <row r="156" spans="10:11" x14ac:dyDescent="0.3">
      <c r="J156" s="22"/>
      <c r="K156" s="19"/>
    </row>
    <row r="157" spans="10:11" x14ac:dyDescent="0.3">
      <c r="J157" s="22"/>
      <c r="K157" s="19"/>
    </row>
    <row r="158" spans="10:11" x14ac:dyDescent="0.3">
      <c r="J158" s="22"/>
      <c r="K158" s="19"/>
    </row>
    <row r="159" spans="10:11" x14ac:dyDescent="0.3">
      <c r="J159" s="22"/>
      <c r="K159" s="19"/>
    </row>
    <row r="160" spans="10:11" x14ac:dyDescent="0.3">
      <c r="J160" s="22"/>
      <c r="K160" s="19"/>
    </row>
    <row r="161" spans="10:11" x14ac:dyDescent="0.3">
      <c r="J161" s="22"/>
      <c r="K161" s="19"/>
    </row>
    <row r="162" spans="10:11" x14ac:dyDescent="0.3">
      <c r="J162" s="22"/>
      <c r="K162" s="19"/>
    </row>
    <row r="163" spans="10:11" x14ac:dyDescent="0.3">
      <c r="J163" s="22"/>
      <c r="K163" s="19"/>
    </row>
    <row r="164" spans="10:11" x14ac:dyDescent="0.3">
      <c r="J164" s="22"/>
      <c r="K164" s="19"/>
    </row>
    <row r="165" spans="10:11" x14ac:dyDescent="0.3">
      <c r="J165" s="22"/>
      <c r="K165" s="19"/>
    </row>
    <row r="166" spans="10:11" x14ac:dyDescent="0.3">
      <c r="J166" s="22"/>
      <c r="K166" s="19"/>
    </row>
    <row r="167" spans="10:11" x14ac:dyDescent="0.3">
      <c r="J167" s="22"/>
      <c r="K167" s="19"/>
    </row>
    <row r="168" spans="10:11" x14ac:dyDescent="0.3">
      <c r="J168" s="22"/>
      <c r="K168" s="19"/>
    </row>
    <row r="169" spans="10:11" x14ac:dyDescent="0.3">
      <c r="J169" s="22"/>
      <c r="K169" s="19"/>
    </row>
    <row r="170" spans="10:11" x14ac:dyDescent="0.3">
      <c r="J170" s="22"/>
      <c r="K170" s="19"/>
    </row>
    <row r="171" spans="10:11" x14ac:dyDescent="0.3">
      <c r="J171" s="22"/>
      <c r="K171" s="19"/>
    </row>
    <row r="172" spans="10:11" x14ac:dyDescent="0.3">
      <c r="J172" s="22"/>
      <c r="K172" s="19"/>
    </row>
    <row r="173" spans="10:11" x14ac:dyDescent="0.3">
      <c r="J173" s="22"/>
      <c r="K173" s="19"/>
    </row>
    <row r="174" spans="10:11" x14ac:dyDescent="0.3">
      <c r="J174" s="22"/>
      <c r="K174" s="19"/>
    </row>
    <row r="175" spans="10:11" x14ac:dyDescent="0.3">
      <c r="J175" s="22"/>
      <c r="K175" s="19"/>
    </row>
    <row r="176" spans="10:11" x14ac:dyDescent="0.3">
      <c r="J176" s="22"/>
      <c r="K176" s="19"/>
    </row>
    <row r="177" spans="10:11" x14ac:dyDescent="0.3">
      <c r="J177" s="22"/>
      <c r="K177" s="19"/>
    </row>
    <row r="178" spans="10:11" x14ac:dyDescent="0.3">
      <c r="J178" s="22"/>
      <c r="K178" s="19"/>
    </row>
    <row r="179" spans="10:11" x14ac:dyDescent="0.3">
      <c r="J179" s="22"/>
      <c r="K179" s="19"/>
    </row>
    <row r="180" spans="10:11" x14ac:dyDescent="0.3">
      <c r="J180" s="22"/>
      <c r="K180" s="19"/>
    </row>
    <row r="181" spans="10:11" x14ac:dyDescent="0.3">
      <c r="J181" s="22"/>
      <c r="K181" s="19"/>
    </row>
    <row r="182" spans="10:11" x14ac:dyDescent="0.3">
      <c r="J182" s="22"/>
      <c r="K182" s="19"/>
    </row>
    <row r="183" spans="10:11" x14ac:dyDescent="0.3">
      <c r="J183" s="22"/>
      <c r="K183" s="19"/>
    </row>
    <row r="184" spans="10:11" x14ac:dyDescent="0.3">
      <c r="J184" s="22"/>
      <c r="K184" s="19"/>
    </row>
    <row r="185" spans="10:11" x14ac:dyDescent="0.3">
      <c r="J185" s="22"/>
      <c r="K185" s="19"/>
    </row>
    <row r="186" spans="10:11" x14ac:dyDescent="0.3">
      <c r="J186" s="22"/>
      <c r="K186" s="19"/>
    </row>
    <row r="187" spans="10:11" x14ac:dyDescent="0.3">
      <c r="J187" s="22"/>
      <c r="K187" s="19"/>
    </row>
    <row r="188" spans="10:11" x14ac:dyDescent="0.3">
      <c r="J188" s="22"/>
      <c r="K188" s="19"/>
    </row>
    <row r="189" spans="10:11" x14ac:dyDescent="0.3">
      <c r="J189" s="22"/>
      <c r="K189" s="19"/>
    </row>
    <row r="190" spans="10:11" x14ac:dyDescent="0.3">
      <c r="J190" s="22"/>
      <c r="K190" s="19"/>
    </row>
    <row r="191" spans="10:11" x14ac:dyDescent="0.3">
      <c r="J191" s="22"/>
      <c r="K191" s="19"/>
    </row>
    <row r="192" spans="10:11" x14ac:dyDescent="0.3">
      <c r="J192" s="22"/>
      <c r="K192" s="19"/>
    </row>
    <row r="193" spans="10:11" x14ac:dyDescent="0.3">
      <c r="J193" s="22"/>
      <c r="K193" s="19"/>
    </row>
    <row r="194" spans="10:11" x14ac:dyDescent="0.3">
      <c r="J194" s="22"/>
      <c r="K194" s="19"/>
    </row>
    <row r="195" spans="10:11" x14ac:dyDescent="0.3">
      <c r="J195" s="22"/>
      <c r="K195" s="19"/>
    </row>
    <row r="196" spans="10:11" x14ac:dyDescent="0.3">
      <c r="J196" s="22"/>
      <c r="K196" s="19"/>
    </row>
    <row r="197" spans="10:11" x14ac:dyDescent="0.3">
      <c r="J197" s="22"/>
      <c r="K197" s="19"/>
    </row>
    <row r="198" spans="10:11" x14ac:dyDescent="0.3">
      <c r="J198" s="22"/>
      <c r="K198" s="19"/>
    </row>
    <row r="199" spans="10:11" x14ac:dyDescent="0.3">
      <c r="J199" s="22"/>
      <c r="K199" s="19"/>
    </row>
    <row r="200" spans="10:11" x14ac:dyDescent="0.3">
      <c r="J200" s="22"/>
      <c r="K200" s="19"/>
    </row>
    <row r="201" spans="10:11" x14ac:dyDescent="0.3">
      <c r="J201" s="22"/>
      <c r="K201" s="19"/>
    </row>
    <row r="202" spans="10:11" x14ac:dyDescent="0.3">
      <c r="J202" s="22"/>
      <c r="K202" s="19"/>
    </row>
    <row r="203" spans="10:11" x14ac:dyDescent="0.3">
      <c r="J203" s="22"/>
      <c r="K203" s="19"/>
    </row>
    <row r="204" spans="10:11" x14ac:dyDescent="0.3">
      <c r="J204" s="22"/>
      <c r="K204" s="19"/>
    </row>
    <row r="205" spans="10:11" x14ac:dyDescent="0.3">
      <c r="J205" s="22"/>
      <c r="K205" s="19"/>
    </row>
    <row r="206" spans="10:11" x14ac:dyDescent="0.3">
      <c r="J206" s="22"/>
      <c r="K206" s="19"/>
    </row>
    <row r="207" spans="10:11" x14ac:dyDescent="0.3">
      <c r="J207" s="22"/>
      <c r="K207" s="19"/>
    </row>
    <row r="208" spans="10:11" x14ac:dyDescent="0.3">
      <c r="J208" s="22"/>
      <c r="K208" s="19"/>
    </row>
    <row r="209" spans="10:11" x14ac:dyDescent="0.3">
      <c r="J209" s="22"/>
      <c r="K209" s="19"/>
    </row>
    <row r="210" spans="10:11" x14ac:dyDescent="0.3">
      <c r="J210" s="22"/>
      <c r="K210" s="19"/>
    </row>
    <row r="211" spans="10:11" x14ac:dyDescent="0.3">
      <c r="J211" s="22"/>
      <c r="K211" s="19"/>
    </row>
    <row r="212" spans="10:11" x14ac:dyDescent="0.3">
      <c r="J212" s="22"/>
      <c r="K212" s="19"/>
    </row>
    <row r="213" spans="10:11" x14ac:dyDescent="0.3">
      <c r="J213" s="22"/>
      <c r="K213" s="19"/>
    </row>
    <row r="214" spans="10:11" x14ac:dyDescent="0.3">
      <c r="J214" s="22"/>
      <c r="K214" s="19"/>
    </row>
    <row r="215" spans="10:11" x14ac:dyDescent="0.3">
      <c r="J215" s="22"/>
      <c r="K215" s="19"/>
    </row>
    <row r="216" spans="10:11" x14ac:dyDescent="0.3">
      <c r="J216" s="22"/>
      <c r="K216" s="19"/>
    </row>
    <row r="217" spans="10:11" x14ac:dyDescent="0.3">
      <c r="J217" s="22"/>
      <c r="K217" s="19"/>
    </row>
    <row r="218" spans="10:11" x14ac:dyDescent="0.3">
      <c r="J218" s="22"/>
      <c r="K218" s="19"/>
    </row>
    <row r="219" spans="10:11" x14ac:dyDescent="0.3">
      <c r="J219" s="22"/>
      <c r="K219" s="19"/>
    </row>
    <row r="220" spans="10:11" x14ac:dyDescent="0.3">
      <c r="J220" s="22"/>
      <c r="K220" s="19"/>
    </row>
    <row r="221" spans="10:11" x14ac:dyDescent="0.3">
      <c r="J221" s="22"/>
      <c r="K221" s="19"/>
    </row>
    <row r="222" spans="10:11" x14ac:dyDescent="0.3">
      <c r="J222" s="22"/>
      <c r="K222" s="19"/>
    </row>
    <row r="223" spans="10:11" x14ac:dyDescent="0.3">
      <c r="J223" s="22"/>
      <c r="K223" s="19"/>
    </row>
    <row r="224" spans="10:11" x14ac:dyDescent="0.3">
      <c r="J224" s="22"/>
      <c r="K224" s="19"/>
    </row>
    <row r="225" spans="10:11" x14ac:dyDescent="0.3">
      <c r="J225" s="22"/>
      <c r="K225" s="19"/>
    </row>
    <row r="226" spans="10:11" x14ac:dyDescent="0.3">
      <c r="J226" s="22"/>
      <c r="K226" s="19"/>
    </row>
    <row r="227" spans="10:11" x14ac:dyDescent="0.3">
      <c r="J227" s="22"/>
      <c r="K227" s="19"/>
    </row>
    <row r="228" spans="10:11" x14ac:dyDescent="0.3">
      <c r="J228" s="22"/>
      <c r="K228" s="19"/>
    </row>
    <row r="229" spans="10:11" x14ac:dyDescent="0.3">
      <c r="J229" s="22"/>
      <c r="K229" s="19"/>
    </row>
    <row r="230" spans="10:11" x14ac:dyDescent="0.3">
      <c r="J230" s="22"/>
      <c r="K230" s="19"/>
    </row>
    <row r="231" spans="10:11" x14ac:dyDescent="0.3">
      <c r="J231" s="22"/>
      <c r="K231" s="19"/>
    </row>
    <row r="232" spans="10:11" x14ac:dyDescent="0.3">
      <c r="J232" s="22"/>
      <c r="K232" s="19"/>
    </row>
    <row r="233" spans="10:11" x14ac:dyDescent="0.3">
      <c r="J233" s="22"/>
      <c r="K233" s="19"/>
    </row>
    <row r="234" spans="10:11" x14ac:dyDescent="0.3">
      <c r="J234" s="22"/>
      <c r="K234" s="19"/>
    </row>
    <row r="235" spans="10:11" x14ac:dyDescent="0.3">
      <c r="J235" s="22"/>
      <c r="K235" s="19"/>
    </row>
    <row r="236" spans="10:11" x14ac:dyDescent="0.3">
      <c r="J236" s="22"/>
      <c r="K236" s="19"/>
    </row>
    <row r="237" spans="10:11" x14ac:dyDescent="0.3">
      <c r="J237" s="22"/>
      <c r="K237" s="19"/>
    </row>
    <row r="238" spans="10:11" x14ac:dyDescent="0.3">
      <c r="J238" s="22"/>
      <c r="K238" s="19"/>
    </row>
    <row r="239" spans="10:11" x14ac:dyDescent="0.3">
      <c r="J239" s="22"/>
      <c r="K239" s="19"/>
    </row>
    <row r="240" spans="10:11" x14ac:dyDescent="0.3">
      <c r="J240" s="22"/>
      <c r="K240" s="19"/>
    </row>
    <row r="241" spans="10:11" x14ac:dyDescent="0.3">
      <c r="J241" s="22"/>
      <c r="K241" s="19"/>
    </row>
    <row r="242" spans="10:11" x14ac:dyDescent="0.3">
      <c r="J242" s="22"/>
      <c r="K242" s="19"/>
    </row>
    <row r="243" spans="10:11" x14ac:dyDescent="0.3">
      <c r="J243" s="22"/>
      <c r="K243" s="19"/>
    </row>
    <row r="244" spans="10:11" x14ac:dyDescent="0.3">
      <c r="J244" s="22"/>
      <c r="K244" s="19"/>
    </row>
    <row r="245" spans="10:11" x14ac:dyDescent="0.3">
      <c r="J245" s="22"/>
      <c r="K245" s="19"/>
    </row>
    <row r="246" spans="10:11" x14ac:dyDescent="0.3">
      <c r="J246" s="22"/>
      <c r="K246" s="19"/>
    </row>
    <row r="247" spans="10:11" x14ac:dyDescent="0.3">
      <c r="J247" s="22"/>
      <c r="K247" s="19"/>
    </row>
    <row r="248" spans="10:11" x14ac:dyDescent="0.3">
      <c r="J248" s="22"/>
      <c r="K248" s="19"/>
    </row>
    <row r="249" spans="10:11" x14ac:dyDescent="0.3">
      <c r="J249" s="22"/>
      <c r="K249" s="19"/>
    </row>
    <row r="250" spans="10:11" x14ac:dyDescent="0.3">
      <c r="J250" s="22"/>
      <c r="K250" s="19"/>
    </row>
    <row r="251" spans="10:11" x14ac:dyDescent="0.3">
      <c r="J251" s="22"/>
      <c r="K251" s="19"/>
    </row>
    <row r="252" spans="10:11" x14ac:dyDescent="0.3">
      <c r="J252" s="22"/>
      <c r="K252" s="19"/>
    </row>
    <row r="253" spans="10:11" x14ac:dyDescent="0.3">
      <c r="J253" s="22"/>
      <c r="K253" s="19"/>
    </row>
    <row r="254" spans="10:11" x14ac:dyDescent="0.3">
      <c r="J254" s="22"/>
      <c r="K254" s="19"/>
    </row>
    <row r="255" spans="10:11" x14ac:dyDescent="0.3">
      <c r="J255" s="22"/>
      <c r="K255" s="19"/>
    </row>
    <row r="256" spans="10:11" x14ac:dyDescent="0.3">
      <c r="J256" s="22"/>
      <c r="K256" s="19"/>
    </row>
    <row r="257" spans="10:11" x14ac:dyDescent="0.3">
      <c r="J257" s="22"/>
      <c r="K257" s="19"/>
    </row>
    <row r="258" spans="10:11" x14ac:dyDescent="0.3">
      <c r="J258" s="22"/>
      <c r="K258" s="19"/>
    </row>
    <row r="259" spans="10:11" x14ac:dyDescent="0.3">
      <c r="J259" s="22"/>
      <c r="K259" s="19"/>
    </row>
    <row r="260" spans="10:11" x14ac:dyDescent="0.3">
      <c r="J260" s="22"/>
      <c r="K260" s="19"/>
    </row>
    <row r="261" spans="10:11" x14ac:dyDescent="0.3">
      <c r="J261" s="22"/>
      <c r="K261" s="19"/>
    </row>
    <row r="262" spans="10:11" x14ac:dyDescent="0.3">
      <c r="J262" s="22"/>
      <c r="K262" s="19"/>
    </row>
    <row r="263" spans="10:11" x14ac:dyDescent="0.3">
      <c r="J263" s="22"/>
      <c r="K263" s="19"/>
    </row>
    <row r="264" spans="10:11" x14ac:dyDescent="0.3">
      <c r="J264" s="22"/>
      <c r="K264" s="19"/>
    </row>
    <row r="265" spans="10:11" x14ac:dyDescent="0.3">
      <c r="J265" s="22"/>
      <c r="K265" s="19"/>
    </row>
    <row r="266" spans="10:11" x14ac:dyDescent="0.3">
      <c r="J266" s="22"/>
      <c r="K266" s="19"/>
    </row>
    <row r="267" spans="10:11" x14ac:dyDescent="0.3">
      <c r="J267" s="22"/>
      <c r="K267" s="19"/>
    </row>
    <row r="268" spans="10:11" x14ac:dyDescent="0.3">
      <c r="J268" s="22"/>
      <c r="K268" s="19"/>
    </row>
    <row r="269" spans="10:11" x14ac:dyDescent="0.3">
      <c r="J269" s="22"/>
      <c r="K269" s="19"/>
    </row>
    <row r="270" spans="10:11" x14ac:dyDescent="0.3">
      <c r="J270" s="22"/>
      <c r="K270" s="19"/>
    </row>
    <row r="271" spans="10:11" x14ac:dyDescent="0.3">
      <c r="J271" s="22"/>
      <c r="K271" s="19"/>
    </row>
    <row r="272" spans="10:11" x14ac:dyDescent="0.3">
      <c r="J272" s="22"/>
      <c r="K272" s="19"/>
    </row>
    <row r="273" spans="10:11" x14ac:dyDescent="0.3">
      <c r="J273" s="22"/>
      <c r="K273" s="19"/>
    </row>
    <row r="274" spans="10:11" x14ac:dyDescent="0.3">
      <c r="J274" s="22"/>
      <c r="K274" s="19"/>
    </row>
    <row r="275" spans="10:11" x14ac:dyDescent="0.3">
      <c r="J275" s="22"/>
      <c r="K275" s="19"/>
    </row>
    <row r="276" spans="10:11" x14ac:dyDescent="0.3">
      <c r="J276" s="22"/>
      <c r="K276" s="19"/>
    </row>
    <row r="277" spans="10:11" x14ac:dyDescent="0.3">
      <c r="J277" s="22"/>
      <c r="K277" s="19"/>
    </row>
    <row r="278" spans="10:11" x14ac:dyDescent="0.3">
      <c r="J278" s="22"/>
      <c r="K278" s="19"/>
    </row>
    <row r="279" spans="10:11" x14ac:dyDescent="0.3">
      <c r="J279" s="22"/>
      <c r="K279" s="19"/>
    </row>
    <row r="280" spans="10:11" x14ac:dyDescent="0.3">
      <c r="J280" s="22"/>
      <c r="K280" s="19"/>
    </row>
    <row r="281" spans="10:11" x14ac:dyDescent="0.3">
      <c r="J281" s="22"/>
      <c r="K281" s="19"/>
    </row>
    <row r="282" spans="10:11" x14ac:dyDescent="0.3">
      <c r="J282" s="22"/>
      <c r="K282" s="19"/>
    </row>
    <row r="283" spans="10:11" x14ac:dyDescent="0.3">
      <c r="J283" s="22"/>
      <c r="K283" s="19"/>
    </row>
    <row r="284" spans="10:11" x14ac:dyDescent="0.3">
      <c r="J284" s="22"/>
      <c r="K284" s="19"/>
    </row>
    <row r="285" spans="10:11" x14ac:dyDescent="0.3">
      <c r="J285" s="22"/>
      <c r="K285" s="19"/>
    </row>
    <row r="286" spans="10:11" x14ac:dyDescent="0.3">
      <c r="J286" s="22"/>
      <c r="K286" s="19"/>
    </row>
    <row r="287" spans="10:11" x14ac:dyDescent="0.3">
      <c r="J287" s="22"/>
      <c r="K287" s="19"/>
    </row>
    <row r="288" spans="10:11" x14ac:dyDescent="0.3">
      <c r="J288" s="22"/>
      <c r="K288" s="19"/>
    </row>
    <row r="289" spans="10:11" x14ac:dyDescent="0.3">
      <c r="J289" s="22"/>
      <c r="K289" s="19"/>
    </row>
    <row r="290" spans="10:11" x14ac:dyDescent="0.3">
      <c r="J290" s="22"/>
      <c r="K290" s="19"/>
    </row>
    <row r="291" spans="10:11" x14ac:dyDescent="0.3">
      <c r="J291" s="22"/>
      <c r="K291" s="19"/>
    </row>
    <row r="292" spans="10:11" x14ac:dyDescent="0.3">
      <c r="J292" s="22"/>
      <c r="K292" s="19"/>
    </row>
    <row r="293" spans="10:11" x14ac:dyDescent="0.3">
      <c r="J293" s="22"/>
      <c r="K293" s="19"/>
    </row>
    <row r="294" spans="10:11" x14ac:dyDescent="0.3">
      <c r="J294" s="22"/>
      <c r="K294" s="19"/>
    </row>
    <row r="295" spans="10:11" x14ac:dyDescent="0.3">
      <c r="J295" s="22"/>
      <c r="K295" s="19"/>
    </row>
    <row r="296" spans="10:11" x14ac:dyDescent="0.3">
      <c r="J296" s="22"/>
      <c r="K296" s="19"/>
    </row>
    <row r="297" spans="10:11" x14ac:dyDescent="0.3">
      <c r="J297" s="22"/>
      <c r="K297" s="19"/>
    </row>
    <row r="298" spans="10:11" x14ac:dyDescent="0.3">
      <c r="J298" s="22"/>
      <c r="K298" s="19"/>
    </row>
    <row r="299" spans="10:11" x14ac:dyDescent="0.3">
      <c r="J299" s="22"/>
      <c r="K299" s="19"/>
    </row>
    <row r="300" spans="10:11" x14ac:dyDescent="0.3">
      <c r="J300" s="22"/>
      <c r="K300" s="19"/>
    </row>
    <row r="301" spans="10:11" x14ac:dyDescent="0.3">
      <c r="J301" s="22"/>
      <c r="K301" s="19"/>
    </row>
    <row r="302" spans="10:11" x14ac:dyDescent="0.3">
      <c r="J302" s="22"/>
      <c r="K302" s="19"/>
    </row>
    <row r="303" spans="10:11" x14ac:dyDescent="0.3">
      <c r="J303" s="22"/>
      <c r="K303" s="19"/>
    </row>
    <row r="304" spans="10:11" x14ac:dyDescent="0.3">
      <c r="J304" s="22"/>
      <c r="K304" s="19"/>
    </row>
    <row r="305" spans="10:11" x14ac:dyDescent="0.3">
      <c r="J305" s="22"/>
      <c r="K305" s="19"/>
    </row>
    <row r="306" spans="10:11" x14ac:dyDescent="0.3">
      <c r="J306" s="22"/>
      <c r="K306" s="19"/>
    </row>
    <row r="307" spans="10:11" x14ac:dyDescent="0.3">
      <c r="J307" s="22"/>
      <c r="K307" s="19"/>
    </row>
    <row r="308" spans="10:11" x14ac:dyDescent="0.3">
      <c r="J308" s="22"/>
      <c r="K308" s="19"/>
    </row>
    <row r="309" spans="10:11" x14ac:dyDescent="0.3">
      <c r="J309" s="22"/>
      <c r="K309" s="19"/>
    </row>
    <row r="310" spans="10:11" x14ac:dyDescent="0.3">
      <c r="J310" s="22"/>
      <c r="K310" s="19"/>
    </row>
    <row r="311" spans="10:11" x14ac:dyDescent="0.3">
      <c r="J311" s="22"/>
      <c r="K311" s="19"/>
    </row>
    <row r="312" spans="10:11" x14ac:dyDescent="0.3">
      <c r="J312" s="22"/>
      <c r="K312" s="19"/>
    </row>
    <row r="313" spans="10:11" x14ac:dyDescent="0.3">
      <c r="J313" s="22"/>
      <c r="K313" s="19"/>
    </row>
    <row r="314" spans="10:11" x14ac:dyDescent="0.3">
      <c r="J314" s="22"/>
      <c r="K314" s="19"/>
    </row>
    <row r="315" spans="10:11" x14ac:dyDescent="0.3">
      <c r="J315" s="22"/>
      <c r="K315" s="19"/>
    </row>
    <row r="316" spans="10:11" x14ac:dyDescent="0.3">
      <c r="J316" s="22"/>
      <c r="K316" s="19"/>
    </row>
    <row r="317" spans="10:11" x14ac:dyDescent="0.3">
      <c r="J317" s="22"/>
      <c r="K317" s="19"/>
    </row>
    <row r="318" spans="10:11" x14ac:dyDescent="0.3">
      <c r="J318" s="22"/>
      <c r="K318" s="19"/>
    </row>
    <row r="319" spans="10:11" x14ac:dyDescent="0.3">
      <c r="J319" s="22"/>
      <c r="K319" s="19"/>
    </row>
    <row r="320" spans="10:11" x14ac:dyDescent="0.3">
      <c r="J320" s="22"/>
      <c r="K320" s="19"/>
    </row>
    <row r="321" spans="10:11" x14ac:dyDescent="0.3">
      <c r="J321" s="22"/>
      <c r="K321" s="19"/>
    </row>
    <row r="322" spans="10:11" x14ac:dyDescent="0.3">
      <c r="J322" s="22"/>
      <c r="K322" s="19"/>
    </row>
    <row r="323" spans="10:11" x14ac:dyDescent="0.3">
      <c r="J323" s="22"/>
      <c r="K323" s="19"/>
    </row>
    <row r="324" spans="10:11" x14ac:dyDescent="0.3">
      <c r="J324" s="22"/>
      <c r="K324" s="19"/>
    </row>
    <row r="325" spans="10:11" x14ac:dyDescent="0.3">
      <c r="J325" s="22"/>
      <c r="K325" s="19"/>
    </row>
    <row r="326" spans="10:11" x14ac:dyDescent="0.3">
      <c r="J326" s="22"/>
      <c r="K326" s="19"/>
    </row>
    <row r="327" spans="10:11" x14ac:dyDescent="0.3">
      <c r="J327" s="22"/>
      <c r="K327" s="19"/>
    </row>
    <row r="328" spans="10:11" x14ac:dyDescent="0.3">
      <c r="J328" s="22"/>
      <c r="K328" s="19"/>
    </row>
    <row r="329" spans="10:11" x14ac:dyDescent="0.3">
      <c r="J329" s="22"/>
      <c r="K329" s="19"/>
    </row>
    <row r="330" spans="10:11" x14ac:dyDescent="0.3">
      <c r="J330" s="22"/>
      <c r="K330" s="19"/>
    </row>
    <row r="331" spans="10:11" x14ac:dyDescent="0.3">
      <c r="J331" s="22"/>
      <c r="K331" s="19"/>
    </row>
    <row r="332" spans="10:11" x14ac:dyDescent="0.3">
      <c r="J332" s="22"/>
      <c r="K332" s="19"/>
    </row>
    <row r="333" spans="10:11" x14ac:dyDescent="0.3">
      <c r="J333" s="22"/>
      <c r="K333" s="19"/>
    </row>
    <row r="334" spans="10:11" x14ac:dyDescent="0.3">
      <c r="J334" s="22"/>
      <c r="K334" s="19"/>
    </row>
    <row r="335" spans="10:11" x14ac:dyDescent="0.3">
      <c r="J335" s="22"/>
      <c r="K335" s="19"/>
    </row>
    <row r="336" spans="10:11" x14ac:dyDescent="0.3">
      <c r="J336" s="22"/>
      <c r="K336" s="19"/>
    </row>
    <row r="337" spans="10:11" x14ac:dyDescent="0.3">
      <c r="J337" s="22"/>
      <c r="K337" s="19"/>
    </row>
    <row r="338" spans="10:11" x14ac:dyDescent="0.3">
      <c r="J338" s="22"/>
      <c r="K338" s="19"/>
    </row>
    <row r="339" spans="10:11" x14ac:dyDescent="0.3">
      <c r="J339" s="22"/>
      <c r="K339" s="19"/>
    </row>
    <row r="340" spans="10:11" x14ac:dyDescent="0.3">
      <c r="J340" s="22"/>
      <c r="K340" s="19"/>
    </row>
    <row r="341" spans="10:11" x14ac:dyDescent="0.3">
      <c r="J341" s="22"/>
      <c r="K341" s="19"/>
    </row>
    <row r="342" spans="10:11" x14ac:dyDescent="0.3">
      <c r="J342" s="22"/>
      <c r="K342" s="19"/>
    </row>
    <row r="343" spans="10:11" x14ac:dyDescent="0.3">
      <c r="J343" s="22"/>
      <c r="K343" s="19"/>
    </row>
    <row r="344" spans="10:11" x14ac:dyDescent="0.3">
      <c r="J344" s="22"/>
      <c r="K344" s="19"/>
    </row>
    <row r="345" spans="10:11" x14ac:dyDescent="0.3">
      <c r="J345" s="22"/>
      <c r="K345" s="19"/>
    </row>
    <row r="346" spans="10:11" x14ac:dyDescent="0.3">
      <c r="J346" s="22"/>
      <c r="K346" s="19"/>
    </row>
    <row r="347" spans="10:11" x14ac:dyDescent="0.3">
      <c r="J347" s="22"/>
      <c r="K347" s="19"/>
    </row>
    <row r="348" spans="10:11" x14ac:dyDescent="0.3">
      <c r="J348" s="22"/>
      <c r="K348" s="19"/>
    </row>
    <row r="349" spans="10:11" x14ac:dyDescent="0.3">
      <c r="J349" s="22"/>
      <c r="K349" s="19"/>
    </row>
    <row r="350" spans="10:11" x14ac:dyDescent="0.3">
      <c r="J350" s="22"/>
      <c r="K350" s="19"/>
    </row>
    <row r="351" spans="10:11" x14ac:dyDescent="0.3">
      <c r="J351" s="22"/>
      <c r="K351" s="19"/>
    </row>
    <row r="352" spans="10:11" x14ac:dyDescent="0.3">
      <c r="J352" s="22"/>
      <c r="K352" s="19"/>
    </row>
    <row r="353" spans="10:11" x14ac:dyDescent="0.3">
      <c r="J353" s="22"/>
      <c r="K353" s="19"/>
    </row>
    <row r="354" spans="10:11" x14ac:dyDescent="0.3">
      <c r="J354" s="22"/>
      <c r="K354" s="19"/>
    </row>
    <row r="355" spans="10:11" x14ac:dyDescent="0.3">
      <c r="J355" s="22"/>
      <c r="K355" s="19"/>
    </row>
    <row r="356" spans="10:11" x14ac:dyDescent="0.3">
      <c r="J356" s="22"/>
      <c r="K356" s="19"/>
    </row>
    <row r="357" spans="10:11" x14ac:dyDescent="0.3">
      <c r="J357" s="22"/>
      <c r="K357" s="19"/>
    </row>
    <row r="358" spans="10:11" x14ac:dyDescent="0.3">
      <c r="J358" s="22"/>
      <c r="K358" s="19"/>
    </row>
    <row r="359" spans="10:11" x14ac:dyDescent="0.3">
      <c r="J359" s="22"/>
      <c r="K359" s="19"/>
    </row>
    <row r="360" spans="10:11" x14ac:dyDescent="0.3">
      <c r="J360" s="22"/>
      <c r="K360" s="19"/>
    </row>
    <row r="361" spans="10:11" x14ac:dyDescent="0.3">
      <c r="J361" s="22"/>
      <c r="K361" s="19"/>
    </row>
    <row r="362" spans="10:11" x14ac:dyDescent="0.3">
      <c r="J362" s="22"/>
      <c r="K362" s="19"/>
    </row>
    <row r="363" spans="10:11" x14ac:dyDescent="0.3">
      <c r="J363" s="22"/>
      <c r="K363" s="19"/>
    </row>
    <row r="364" spans="10:11" x14ac:dyDescent="0.3">
      <c r="J364" s="22"/>
      <c r="K364" s="19"/>
    </row>
    <row r="365" spans="10:11" x14ac:dyDescent="0.3">
      <c r="J365" s="22"/>
      <c r="K365" s="19"/>
    </row>
    <row r="366" spans="10:11" x14ac:dyDescent="0.3">
      <c r="J366" s="22"/>
      <c r="K366" s="19"/>
    </row>
    <row r="367" spans="10:11" x14ac:dyDescent="0.3">
      <c r="J367" s="22"/>
      <c r="K367" s="19"/>
    </row>
    <row r="368" spans="10:11" x14ac:dyDescent="0.3">
      <c r="J368" s="22"/>
      <c r="K368" s="19"/>
    </row>
    <row r="369" spans="10:11" x14ac:dyDescent="0.3">
      <c r="J369" s="22"/>
      <c r="K369" s="19"/>
    </row>
    <row r="370" spans="10:11" x14ac:dyDescent="0.3">
      <c r="J370" s="22"/>
      <c r="K370" s="19"/>
    </row>
    <row r="371" spans="10:11" x14ac:dyDescent="0.3">
      <c r="J371" s="22"/>
      <c r="K371" s="19"/>
    </row>
    <row r="372" spans="10:11" x14ac:dyDescent="0.3">
      <c r="J372" s="22"/>
      <c r="K372" s="19"/>
    </row>
    <row r="373" spans="10:11" x14ac:dyDescent="0.3">
      <c r="J373" s="22"/>
      <c r="K373" s="19"/>
    </row>
    <row r="374" spans="10:11" x14ac:dyDescent="0.3">
      <c r="J374" s="22"/>
      <c r="K374" s="19"/>
    </row>
    <row r="375" spans="10:11" x14ac:dyDescent="0.3">
      <c r="J375" s="22"/>
      <c r="K375" s="19"/>
    </row>
    <row r="376" spans="10:11" x14ac:dyDescent="0.3">
      <c r="J376" s="22"/>
      <c r="K376" s="19"/>
    </row>
    <row r="377" spans="10:11" x14ac:dyDescent="0.3">
      <c r="J377" s="22"/>
      <c r="K377" s="19"/>
    </row>
    <row r="378" spans="10:11" x14ac:dyDescent="0.3">
      <c r="J378" s="22"/>
      <c r="K378" s="19"/>
    </row>
    <row r="379" spans="10:11" x14ac:dyDescent="0.3">
      <c r="J379" s="22"/>
      <c r="K379" s="19"/>
    </row>
    <row r="380" spans="10:11" x14ac:dyDescent="0.3">
      <c r="J380" s="22"/>
      <c r="K380" s="19"/>
    </row>
    <row r="381" spans="10:11" x14ac:dyDescent="0.3">
      <c r="J381" s="22"/>
      <c r="K381" s="19"/>
    </row>
    <row r="382" spans="10:11" x14ac:dyDescent="0.3">
      <c r="J382" s="22"/>
      <c r="K382" s="19"/>
    </row>
    <row r="383" spans="10:11" x14ac:dyDescent="0.3">
      <c r="J383" s="22"/>
      <c r="K383" s="19"/>
    </row>
    <row r="384" spans="10:11" x14ac:dyDescent="0.3">
      <c r="J384" s="22"/>
      <c r="K384" s="19"/>
    </row>
    <row r="385" spans="10:11" x14ac:dyDescent="0.3">
      <c r="J385" s="22"/>
      <c r="K385" s="19"/>
    </row>
    <row r="386" spans="10:11" x14ac:dyDescent="0.3">
      <c r="J386" s="22"/>
      <c r="K386" s="19"/>
    </row>
    <row r="387" spans="10:11" x14ac:dyDescent="0.3">
      <c r="J387" s="22"/>
      <c r="K387" s="19"/>
    </row>
    <row r="388" spans="10:11" x14ac:dyDescent="0.3">
      <c r="J388" s="22"/>
      <c r="K388" s="19"/>
    </row>
    <row r="389" spans="10:11" x14ac:dyDescent="0.3">
      <c r="J389" s="22"/>
      <c r="K389" s="19"/>
    </row>
    <row r="390" spans="10:11" x14ac:dyDescent="0.3">
      <c r="J390" s="22"/>
      <c r="K390" s="19"/>
    </row>
    <row r="391" spans="10:11" x14ac:dyDescent="0.3">
      <c r="J391" s="22"/>
      <c r="K391" s="19"/>
    </row>
    <row r="392" spans="10:11" x14ac:dyDescent="0.3">
      <c r="J392" s="22"/>
      <c r="K392" s="19"/>
    </row>
    <row r="393" spans="10:11" x14ac:dyDescent="0.3">
      <c r="J393" s="22"/>
      <c r="K393" s="19"/>
    </row>
    <row r="394" spans="10:11" x14ac:dyDescent="0.3">
      <c r="J394" s="22"/>
      <c r="K394" s="19"/>
    </row>
    <row r="395" spans="10:11" x14ac:dyDescent="0.3">
      <c r="J395" s="22"/>
      <c r="K395" s="19"/>
    </row>
    <row r="396" spans="10:11" x14ac:dyDescent="0.3">
      <c r="J396" s="22"/>
      <c r="K396" s="19"/>
    </row>
    <row r="397" spans="10:11" x14ac:dyDescent="0.3">
      <c r="J397" s="22"/>
      <c r="K397" s="19"/>
    </row>
    <row r="398" spans="10:11" x14ac:dyDescent="0.3">
      <c r="J398" s="22"/>
      <c r="K398" s="19"/>
    </row>
    <row r="399" spans="10:11" x14ac:dyDescent="0.3">
      <c r="J399" s="22"/>
      <c r="K399" s="19"/>
    </row>
    <row r="400" spans="10:11" x14ac:dyDescent="0.3">
      <c r="J400" s="22"/>
      <c r="K400" s="19"/>
    </row>
    <row r="401" spans="10:11" x14ac:dyDescent="0.3">
      <c r="J401" s="22"/>
      <c r="K401" s="19"/>
    </row>
    <row r="402" spans="10:11" x14ac:dyDescent="0.3">
      <c r="J402" s="22"/>
      <c r="K402" s="19"/>
    </row>
    <row r="403" spans="10:11" x14ac:dyDescent="0.3">
      <c r="J403" s="22"/>
      <c r="K403" s="19"/>
    </row>
    <row r="404" spans="10:11" x14ac:dyDescent="0.3">
      <c r="J404" s="22"/>
      <c r="K404" s="19"/>
    </row>
    <row r="405" spans="10:11" x14ac:dyDescent="0.3">
      <c r="J405" s="22"/>
      <c r="K405" s="19"/>
    </row>
    <row r="406" spans="10:11" x14ac:dyDescent="0.3">
      <c r="J406" s="22"/>
      <c r="K406" s="19"/>
    </row>
    <row r="407" spans="10:11" x14ac:dyDescent="0.3">
      <c r="J407" s="22"/>
      <c r="K407" s="19"/>
    </row>
    <row r="408" spans="10:11" x14ac:dyDescent="0.3">
      <c r="J408" s="22"/>
      <c r="K408" s="19"/>
    </row>
    <row r="409" spans="10:11" x14ac:dyDescent="0.3">
      <c r="J409" s="22"/>
      <c r="K409" s="19"/>
    </row>
    <row r="410" spans="10:11" x14ac:dyDescent="0.3">
      <c r="J410" s="22"/>
      <c r="K410" s="19"/>
    </row>
    <row r="411" spans="10:11" x14ac:dyDescent="0.3">
      <c r="J411" s="22"/>
      <c r="K411" s="19"/>
    </row>
    <row r="412" spans="10:11" x14ac:dyDescent="0.3">
      <c r="J412" s="22"/>
      <c r="K412" s="19"/>
    </row>
    <row r="413" spans="10:11" x14ac:dyDescent="0.3">
      <c r="J413" s="22"/>
      <c r="K413" s="19"/>
    </row>
    <row r="414" spans="10:11" x14ac:dyDescent="0.3">
      <c r="J414" s="22"/>
      <c r="K414" s="19"/>
    </row>
    <row r="415" spans="10:11" x14ac:dyDescent="0.3">
      <c r="J415" s="22"/>
      <c r="K415" s="19"/>
    </row>
    <row r="416" spans="10:11" x14ac:dyDescent="0.3">
      <c r="J416" s="22"/>
      <c r="K416" s="19"/>
    </row>
    <row r="417" spans="10:11" x14ac:dyDescent="0.3">
      <c r="J417" s="22"/>
      <c r="K417" s="19"/>
    </row>
    <row r="418" spans="10:11" x14ac:dyDescent="0.3">
      <c r="J418" s="22"/>
      <c r="K418" s="19"/>
    </row>
    <row r="419" spans="10:11" x14ac:dyDescent="0.3">
      <c r="J419" s="22"/>
      <c r="K419" s="19"/>
    </row>
    <row r="420" spans="10:11" x14ac:dyDescent="0.3">
      <c r="J420" s="22"/>
      <c r="K420" s="19"/>
    </row>
    <row r="421" spans="10:11" x14ac:dyDescent="0.3">
      <c r="J421" s="22"/>
      <c r="K421" s="19"/>
    </row>
    <row r="422" spans="10:11" x14ac:dyDescent="0.3">
      <c r="J422" s="22"/>
      <c r="K422" s="19"/>
    </row>
    <row r="423" spans="10:11" x14ac:dyDescent="0.3">
      <c r="J423" s="22"/>
      <c r="K423" s="19"/>
    </row>
    <row r="424" spans="10:11" x14ac:dyDescent="0.3">
      <c r="J424" s="22"/>
      <c r="K424" s="19"/>
    </row>
    <row r="425" spans="10:11" x14ac:dyDescent="0.3">
      <c r="J425" s="22"/>
      <c r="K425" s="19"/>
    </row>
    <row r="426" spans="10:11" x14ac:dyDescent="0.3">
      <c r="J426" s="22"/>
      <c r="K426" s="19"/>
    </row>
    <row r="427" spans="10:11" x14ac:dyDescent="0.3">
      <c r="J427" s="22"/>
      <c r="K427" s="19"/>
    </row>
    <row r="428" spans="10:11" x14ac:dyDescent="0.3">
      <c r="J428" s="22"/>
      <c r="K428" s="19"/>
    </row>
    <row r="429" spans="10:11" x14ac:dyDescent="0.3">
      <c r="J429" s="22"/>
      <c r="K429" s="19"/>
    </row>
    <row r="430" spans="10:11" x14ac:dyDescent="0.3">
      <c r="J430" s="22"/>
      <c r="K430" s="19"/>
    </row>
    <row r="431" spans="10:11" x14ac:dyDescent="0.3">
      <c r="J431" s="22"/>
      <c r="K431" s="19"/>
    </row>
    <row r="432" spans="10:11" x14ac:dyDescent="0.3">
      <c r="J432" s="22"/>
      <c r="K432" s="19"/>
    </row>
    <row r="433" spans="10:11" x14ac:dyDescent="0.3">
      <c r="J433" s="22"/>
      <c r="K433" s="19"/>
    </row>
    <row r="434" spans="10:11" x14ac:dyDescent="0.3">
      <c r="J434" s="22"/>
      <c r="K434" s="19"/>
    </row>
    <row r="435" spans="10:11" x14ac:dyDescent="0.3">
      <c r="J435" s="22"/>
      <c r="K435" s="19"/>
    </row>
    <row r="436" spans="10:11" x14ac:dyDescent="0.3">
      <c r="J436" s="22"/>
      <c r="K436" s="19"/>
    </row>
    <row r="437" spans="10:11" x14ac:dyDescent="0.3">
      <c r="J437" s="22"/>
      <c r="K437" s="19"/>
    </row>
    <row r="438" spans="10:11" x14ac:dyDescent="0.3">
      <c r="J438" s="22"/>
      <c r="K438" s="19"/>
    </row>
    <row r="439" spans="10:11" x14ac:dyDescent="0.3">
      <c r="J439" s="22"/>
      <c r="K439" s="19"/>
    </row>
    <row r="440" spans="10:11" x14ac:dyDescent="0.3">
      <c r="J440" s="22"/>
      <c r="K440" s="19"/>
    </row>
    <row r="441" spans="10:11" x14ac:dyDescent="0.3">
      <c r="J441" s="22"/>
      <c r="K441" s="19"/>
    </row>
    <row r="442" spans="10:11" x14ac:dyDescent="0.3">
      <c r="J442" s="22"/>
      <c r="K442" s="19"/>
    </row>
    <row r="443" spans="10:11" x14ac:dyDescent="0.3">
      <c r="J443" s="22"/>
      <c r="K443" s="19"/>
    </row>
    <row r="444" spans="10:11" x14ac:dyDescent="0.3">
      <c r="J444" s="22"/>
      <c r="K444" s="19"/>
    </row>
    <row r="445" spans="10:11" x14ac:dyDescent="0.3">
      <c r="J445" s="22"/>
      <c r="K445" s="19"/>
    </row>
    <row r="446" spans="10:11" x14ac:dyDescent="0.3">
      <c r="J446" s="22"/>
      <c r="K446" s="19"/>
    </row>
    <row r="447" spans="10:11" x14ac:dyDescent="0.3">
      <c r="J447" s="22"/>
      <c r="K447" s="19"/>
    </row>
    <row r="448" spans="10:11" x14ac:dyDescent="0.3">
      <c r="J448" s="22"/>
      <c r="K448" s="19"/>
    </row>
    <row r="449" spans="10:11" x14ac:dyDescent="0.3">
      <c r="J449" s="22"/>
      <c r="K449" s="19"/>
    </row>
    <row r="450" spans="10:11" x14ac:dyDescent="0.3">
      <c r="J450" s="22"/>
      <c r="K450" s="19"/>
    </row>
    <row r="451" spans="10:11" x14ac:dyDescent="0.3">
      <c r="J451" s="22"/>
      <c r="K451" s="19"/>
    </row>
    <row r="452" spans="10:11" x14ac:dyDescent="0.3">
      <c r="J452" s="22"/>
      <c r="K452" s="19"/>
    </row>
    <row r="453" spans="10:11" x14ac:dyDescent="0.3">
      <c r="J453" s="22"/>
      <c r="K453" s="19"/>
    </row>
    <row r="454" spans="10:11" x14ac:dyDescent="0.3">
      <c r="J454" s="22"/>
      <c r="K454" s="19"/>
    </row>
    <row r="455" spans="10:11" x14ac:dyDescent="0.3">
      <c r="J455" s="22"/>
      <c r="K455" s="19"/>
    </row>
    <row r="456" spans="10:11" x14ac:dyDescent="0.3">
      <c r="J456" s="22"/>
      <c r="K456" s="19"/>
    </row>
    <row r="457" spans="10:11" x14ac:dyDescent="0.3">
      <c r="J457" s="22"/>
      <c r="K457" s="19"/>
    </row>
    <row r="458" spans="10:11" x14ac:dyDescent="0.3">
      <c r="J458" s="22"/>
      <c r="K458" s="19"/>
    </row>
    <row r="459" spans="10:11" x14ac:dyDescent="0.3">
      <c r="J459" s="22"/>
      <c r="K459" s="19"/>
    </row>
    <row r="460" spans="10:11" x14ac:dyDescent="0.3">
      <c r="J460" s="22"/>
      <c r="K460" s="19"/>
    </row>
    <row r="461" spans="10:11" x14ac:dyDescent="0.3">
      <c r="J461" s="22"/>
      <c r="K461" s="19"/>
    </row>
    <row r="462" spans="10:11" x14ac:dyDescent="0.3">
      <c r="J462" s="22"/>
      <c r="K462" s="19"/>
    </row>
    <row r="463" spans="10:11" x14ac:dyDescent="0.3">
      <c r="J463" s="22"/>
      <c r="K463" s="19"/>
    </row>
    <row r="464" spans="10:11" x14ac:dyDescent="0.3">
      <c r="J464" s="22"/>
      <c r="K464" s="19"/>
    </row>
    <row r="465" spans="10:11" x14ac:dyDescent="0.3">
      <c r="J465" s="22"/>
      <c r="K465" s="19"/>
    </row>
    <row r="466" spans="10:11" x14ac:dyDescent="0.3">
      <c r="J466" s="22"/>
      <c r="K466" s="19"/>
    </row>
    <row r="467" spans="10:11" x14ac:dyDescent="0.3">
      <c r="J467" s="22"/>
      <c r="K467" s="19"/>
    </row>
    <row r="468" spans="10:11" x14ac:dyDescent="0.3">
      <c r="J468" s="22"/>
      <c r="K468" s="19"/>
    </row>
    <row r="469" spans="10:11" x14ac:dyDescent="0.3">
      <c r="J469" s="22"/>
      <c r="K469" s="19"/>
    </row>
    <row r="470" spans="10:11" x14ac:dyDescent="0.3">
      <c r="J470" s="22"/>
      <c r="K470" s="19"/>
    </row>
    <row r="471" spans="10:11" x14ac:dyDescent="0.3">
      <c r="J471" s="22"/>
      <c r="K471" s="19"/>
    </row>
    <row r="472" spans="10:11" x14ac:dyDescent="0.3">
      <c r="J472" s="22"/>
      <c r="K472" s="19"/>
    </row>
    <row r="473" spans="10:11" x14ac:dyDescent="0.3">
      <c r="J473" s="22"/>
      <c r="K473" s="19"/>
    </row>
    <row r="474" spans="10:11" x14ac:dyDescent="0.3">
      <c r="J474" s="22"/>
      <c r="K474" s="19"/>
    </row>
    <row r="475" spans="10:11" x14ac:dyDescent="0.3">
      <c r="J475" s="22"/>
      <c r="K475" s="19"/>
    </row>
    <row r="476" spans="10:11" x14ac:dyDescent="0.3">
      <c r="J476" s="22"/>
      <c r="K476" s="19"/>
    </row>
    <row r="477" spans="10:11" x14ac:dyDescent="0.3">
      <c r="J477" s="22"/>
      <c r="K477" s="19"/>
    </row>
    <row r="478" spans="10:11" x14ac:dyDescent="0.3">
      <c r="J478" s="22"/>
      <c r="K478" s="19"/>
    </row>
    <row r="479" spans="10:11" x14ac:dyDescent="0.3">
      <c r="J479" s="22"/>
      <c r="K479" s="19"/>
    </row>
    <row r="480" spans="10:11" x14ac:dyDescent="0.3">
      <c r="J480" s="22"/>
      <c r="K480" s="19"/>
    </row>
    <row r="481" spans="10:11" x14ac:dyDescent="0.3">
      <c r="J481" s="22"/>
      <c r="K481" s="19"/>
    </row>
    <row r="482" spans="10:11" x14ac:dyDescent="0.3">
      <c r="J482" s="22"/>
      <c r="K482" s="19"/>
    </row>
    <row r="483" spans="10:11" x14ac:dyDescent="0.3">
      <c r="J483" s="22"/>
      <c r="K483" s="19"/>
    </row>
    <row r="484" spans="10:11" x14ac:dyDescent="0.3">
      <c r="J484" s="22"/>
      <c r="K484" s="19"/>
    </row>
    <row r="485" spans="10:11" x14ac:dyDescent="0.3">
      <c r="J485" s="22"/>
      <c r="K485" s="19"/>
    </row>
    <row r="486" spans="10:11" x14ac:dyDescent="0.3">
      <c r="J486" s="22"/>
      <c r="K486" s="19"/>
    </row>
    <row r="487" spans="10:11" x14ac:dyDescent="0.3">
      <c r="J487" s="22"/>
      <c r="K487" s="19"/>
    </row>
    <row r="488" spans="10:11" x14ac:dyDescent="0.3">
      <c r="J488" s="22"/>
      <c r="K488" s="19"/>
    </row>
    <row r="489" spans="10:11" x14ac:dyDescent="0.3">
      <c r="J489" s="22"/>
      <c r="K489" s="19"/>
    </row>
    <row r="490" spans="10:11" x14ac:dyDescent="0.3">
      <c r="J490" s="22"/>
      <c r="K490" s="19"/>
    </row>
    <row r="491" spans="10:11" x14ac:dyDescent="0.3">
      <c r="J491" s="22"/>
      <c r="K491" s="19"/>
    </row>
    <row r="492" spans="10:11" x14ac:dyDescent="0.3">
      <c r="J492" s="22"/>
      <c r="K492" s="19"/>
    </row>
    <row r="493" spans="10:11" x14ac:dyDescent="0.3">
      <c r="J493" s="22"/>
      <c r="K493" s="19"/>
    </row>
    <row r="494" spans="10:11" x14ac:dyDescent="0.3">
      <c r="J494" s="22"/>
      <c r="K494" s="19"/>
    </row>
    <row r="495" spans="10:11" x14ac:dyDescent="0.3">
      <c r="J495" s="22"/>
      <c r="K495" s="19"/>
    </row>
    <row r="496" spans="10:11" x14ac:dyDescent="0.3">
      <c r="J496" s="22"/>
      <c r="K496" s="19"/>
    </row>
    <row r="497" spans="10:11" x14ac:dyDescent="0.3">
      <c r="J497" s="22"/>
      <c r="K497" s="19"/>
    </row>
    <row r="498" spans="10:11" x14ac:dyDescent="0.3">
      <c r="J498" s="22"/>
      <c r="K498" s="19"/>
    </row>
    <row r="499" spans="10:11" x14ac:dyDescent="0.3">
      <c r="J499" s="22"/>
      <c r="K499" s="19"/>
    </row>
    <row r="500" spans="10:11" x14ac:dyDescent="0.3">
      <c r="J500" s="22"/>
      <c r="K500" s="19"/>
    </row>
    <row r="501" spans="10:11" x14ac:dyDescent="0.3">
      <c r="J501" s="22"/>
      <c r="K501" s="19"/>
    </row>
    <row r="502" spans="10:11" x14ac:dyDescent="0.3">
      <c r="J502" s="22"/>
      <c r="K502" s="19"/>
    </row>
    <row r="503" spans="10:11" x14ac:dyDescent="0.3">
      <c r="J503" s="22"/>
      <c r="K503" s="19"/>
    </row>
    <row r="504" spans="10:11" x14ac:dyDescent="0.3">
      <c r="J504" s="22"/>
      <c r="K504" s="19"/>
    </row>
    <row r="505" spans="10:11" x14ac:dyDescent="0.3">
      <c r="J505" s="22"/>
      <c r="K505" s="19"/>
    </row>
    <row r="506" spans="10:11" x14ac:dyDescent="0.3">
      <c r="J506" s="22"/>
      <c r="K506" s="19"/>
    </row>
    <row r="507" spans="10:11" x14ac:dyDescent="0.3">
      <c r="J507" s="22"/>
      <c r="K507" s="19"/>
    </row>
    <row r="508" spans="10:11" x14ac:dyDescent="0.3">
      <c r="J508" s="22"/>
      <c r="K508" s="19"/>
    </row>
    <row r="509" spans="10:11" x14ac:dyDescent="0.3">
      <c r="J509" s="22"/>
      <c r="K509" s="19"/>
    </row>
    <row r="510" spans="10:11" x14ac:dyDescent="0.3">
      <c r="J510" s="22"/>
      <c r="K510" s="19"/>
    </row>
    <row r="511" spans="10:11" x14ac:dyDescent="0.3">
      <c r="J511" s="22"/>
      <c r="K511" s="19"/>
    </row>
    <row r="512" spans="10:11" x14ac:dyDescent="0.3">
      <c r="J512" s="22"/>
      <c r="K512" s="19"/>
    </row>
    <row r="513" spans="10:11" x14ac:dyDescent="0.3">
      <c r="J513" s="22"/>
      <c r="K513" s="19"/>
    </row>
    <row r="514" spans="10:11" x14ac:dyDescent="0.3">
      <c r="J514" s="22"/>
      <c r="K514" s="19"/>
    </row>
    <row r="515" spans="10:11" x14ac:dyDescent="0.3">
      <c r="J515" s="22"/>
      <c r="K515" s="19"/>
    </row>
    <row r="516" spans="10:11" x14ac:dyDescent="0.3">
      <c r="J516" s="22"/>
      <c r="K516" s="19"/>
    </row>
    <row r="517" spans="10:11" x14ac:dyDescent="0.3">
      <c r="J517" s="22"/>
      <c r="K517" s="19"/>
    </row>
    <row r="518" spans="10:11" x14ac:dyDescent="0.3">
      <c r="J518" s="22"/>
      <c r="K518" s="19"/>
    </row>
    <row r="519" spans="10:11" x14ac:dyDescent="0.3">
      <c r="J519" s="22"/>
      <c r="K519" s="19"/>
    </row>
    <row r="520" spans="10:11" x14ac:dyDescent="0.3">
      <c r="J520" s="22"/>
      <c r="K520" s="19"/>
    </row>
    <row r="521" spans="10:11" x14ac:dyDescent="0.3">
      <c r="J521" s="22"/>
      <c r="K521" s="19"/>
    </row>
    <row r="522" spans="10:11" x14ac:dyDescent="0.3">
      <c r="J522" s="22"/>
      <c r="K522" s="19"/>
    </row>
    <row r="523" spans="10:11" x14ac:dyDescent="0.3">
      <c r="J523" s="22"/>
      <c r="K523" s="19"/>
    </row>
    <row r="524" spans="10:11" x14ac:dyDescent="0.3">
      <c r="J524" s="22"/>
      <c r="K524" s="19"/>
    </row>
    <row r="525" spans="10:11" x14ac:dyDescent="0.3">
      <c r="J525" s="22"/>
      <c r="K525" s="19"/>
    </row>
    <row r="526" spans="10:11" x14ac:dyDescent="0.3">
      <c r="J526" s="22"/>
      <c r="K526" s="19"/>
    </row>
    <row r="527" spans="10:11" x14ac:dyDescent="0.3">
      <c r="J527" s="22"/>
      <c r="K527" s="19"/>
    </row>
    <row r="528" spans="10:11" x14ac:dyDescent="0.3">
      <c r="J528" s="22"/>
      <c r="K528" s="19"/>
    </row>
    <row r="529" spans="10:11" x14ac:dyDescent="0.3">
      <c r="J529" s="22"/>
      <c r="K529" s="19"/>
    </row>
    <row r="530" spans="10:11" x14ac:dyDescent="0.3">
      <c r="J530" s="22"/>
      <c r="K530" s="19"/>
    </row>
    <row r="531" spans="10:11" x14ac:dyDescent="0.3">
      <c r="J531" s="22"/>
      <c r="K531" s="19"/>
    </row>
    <row r="532" spans="10:11" x14ac:dyDescent="0.3">
      <c r="J532" s="22"/>
      <c r="K532" s="19"/>
    </row>
    <row r="533" spans="10:11" x14ac:dyDescent="0.3">
      <c r="J533" s="22"/>
      <c r="K533" s="19"/>
    </row>
    <row r="534" spans="10:11" x14ac:dyDescent="0.3">
      <c r="J534" s="22"/>
      <c r="K534" s="19"/>
    </row>
    <row r="535" spans="10:11" x14ac:dyDescent="0.3">
      <c r="J535" s="22"/>
      <c r="K535" s="19"/>
    </row>
    <row r="536" spans="10:11" x14ac:dyDescent="0.3">
      <c r="J536" s="22"/>
      <c r="K536" s="19"/>
    </row>
    <row r="537" spans="10:11" x14ac:dyDescent="0.3">
      <c r="J537" s="22"/>
      <c r="K537" s="19"/>
    </row>
    <row r="538" spans="10:11" x14ac:dyDescent="0.3">
      <c r="J538" s="22"/>
      <c r="K538" s="19"/>
    </row>
    <row r="539" spans="10:11" x14ac:dyDescent="0.3">
      <c r="J539" s="22"/>
      <c r="K539" s="19"/>
    </row>
    <row r="540" spans="10:11" x14ac:dyDescent="0.3">
      <c r="J540" s="22"/>
      <c r="K540" s="19"/>
    </row>
    <row r="541" spans="10:11" x14ac:dyDescent="0.3">
      <c r="J541" s="22"/>
      <c r="K541" s="19"/>
    </row>
    <row r="542" spans="10:11" x14ac:dyDescent="0.3">
      <c r="J542" s="22"/>
      <c r="K542" s="19"/>
    </row>
    <row r="543" spans="10:11" x14ac:dyDescent="0.3">
      <c r="J543" s="22"/>
      <c r="K543" s="19"/>
    </row>
    <row r="544" spans="10:11" x14ac:dyDescent="0.3">
      <c r="J544" s="22"/>
      <c r="K544" s="19"/>
    </row>
    <row r="545" spans="10:11" x14ac:dyDescent="0.3">
      <c r="J545" s="22"/>
      <c r="K545" s="19"/>
    </row>
    <row r="546" spans="10:11" x14ac:dyDescent="0.3">
      <c r="J546" s="22"/>
      <c r="K546" s="19"/>
    </row>
    <row r="547" spans="10:11" x14ac:dyDescent="0.3">
      <c r="J547" s="22"/>
      <c r="K547" s="19"/>
    </row>
    <row r="548" spans="10:11" x14ac:dyDescent="0.3">
      <c r="J548" s="22"/>
      <c r="K548" s="19"/>
    </row>
    <row r="549" spans="10:11" x14ac:dyDescent="0.3">
      <c r="J549" s="22"/>
      <c r="K549" s="19"/>
    </row>
    <row r="550" spans="10:11" x14ac:dyDescent="0.3">
      <c r="J550" s="22"/>
      <c r="K550" s="19"/>
    </row>
    <row r="551" spans="10:11" x14ac:dyDescent="0.3">
      <c r="J551" s="22"/>
      <c r="K551" s="19"/>
    </row>
    <row r="552" spans="10:11" x14ac:dyDescent="0.3">
      <c r="J552" s="22"/>
      <c r="K552" s="19"/>
    </row>
    <row r="553" spans="10:11" x14ac:dyDescent="0.3">
      <c r="J553" s="22"/>
      <c r="K553" s="19"/>
    </row>
    <row r="554" spans="10:11" x14ac:dyDescent="0.3">
      <c r="J554" s="22"/>
      <c r="K554" s="19"/>
    </row>
    <row r="555" spans="10:11" x14ac:dyDescent="0.3">
      <c r="J555" s="22"/>
      <c r="K555" s="19"/>
    </row>
    <row r="556" spans="10:11" x14ac:dyDescent="0.3">
      <c r="J556" s="22"/>
      <c r="K556" s="19"/>
    </row>
    <row r="557" spans="10:11" x14ac:dyDescent="0.3">
      <c r="J557" s="22"/>
      <c r="K557" s="19"/>
    </row>
    <row r="558" spans="10:11" x14ac:dyDescent="0.3">
      <c r="J558" s="22"/>
      <c r="K558" s="19"/>
    </row>
    <row r="559" spans="10:11" x14ac:dyDescent="0.3">
      <c r="J559" s="22"/>
      <c r="K559" s="19"/>
    </row>
    <row r="560" spans="10:11" x14ac:dyDescent="0.3">
      <c r="J560" s="22"/>
      <c r="K560" s="19"/>
    </row>
    <row r="561" spans="10:11" x14ac:dyDescent="0.3">
      <c r="J561" s="22"/>
      <c r="K561" s="19"/>
    </row>
    <row r="562" spans="10:11" x14ac:dyDescent="0.3">
      <c r="J562" s="22"/>
      <c r="K562" s="19"/>
    </row>
    <row r="563" spans="10:11" x14ac:dyDescent="0.3">
      <c r="J563" s="22"/>
      <c r="K563" s="19"/>
    </row>
    <row r="564" spans="10:11" x14ac:dyDescent="0.3">
      <c r="J564" s="22"/>
      <c r="K564" s="19"/>
    </row>
    <row r="565" spans="10:11" x14ac:dyDescent="0.3">
      <c r="J565" s="22"/>
      <c r="K565" s="19"/>
    </row>
    <row r="566" spans="10:11" x14ac:dyDescent="0.3">
      <c r="J566" s="22"/>
      <c r="K566" s="19"/>
    </row>
    <row r="567" spans="10:11" x14ac:dyDescent="0.3">
      <c r="J567" s="22"/>
      <c r="K567" s="19"/>
    </row>
    <row r="568" spans="10:11" x14ac:dyDescent="0.3">
      <c r="J568" s="22"/>
      <c r="K568" s="19"/>
    </row>
    <row r="569" spans="10:11" x14ac:dyDescent="0.3">
      <c r="J569" s="22"/>
      <c r="K569" s="19"/>
    </row>
    <row r="570" spans="10:11" x14ac:dyDescent="0.3">
      <c r="J570" s="22"/>
      <c r="K570" s="19"/>
    </row>
    <row r="571" spans="10:11" x14ac:dyDescent="0.3">
      <c r="J571" s="22"/>
      <c r="K571" s="19"/>
    </row>
    <row r="572" spans="10:11" x14ac:dyDescent="0.3">
      <c r="J572" s="22"/>
      <c r="K572" s="19"/>
    </row>
    <row r="573" spans="10:11" x14ac:dyDescent="0.3">
      <c r="J573" s="22"/>
      <c r="K573" s="19"/>
    </row>
    <row r="574" spans="10:11" x14ac:dyDescent="0.3">
      <c r="J574" s="22"/>
      <c r="K574" s="19"/>
    </row>
    <row r="575" spans="10:11" x14ac:dyDescent="0.3">
      <c r="J575" s="22"/>
      <c r="K575" s="19"/>
    </row>
    <row r="576" spans="10:11" x14ac:dyDescent="0.3">
      <c r="J576" s="22"/>
      <c r="K576" s="19"/>
    </row>
    <row r="577" spans="10:11" x14ac:dyDescent="0.3">
      <c r="J577" s="22"/>
      <c r="K577" s="19"/>
    </row>
    <row r="578" spans="10:11" x14ac:dyDescent="0.3">
      <c r="J578" s="22"/>
      <c r="K578" s="19"/>
    </row>
    <row r="579" spans="10:11" x14ac:dyDescent="0.3">
      <c r="J579" s="22"/>
      <c r="K579" s="19"/>
    </row>
    <row r="580" spans="10:11" x14ac:dyDescent="0.3">
      <c r="J580" s="22"/>
      <c r="K580" s="19"/>
    </row>
    <row r="581" spans="10:11" x14ac:dyDescent="0.3">
      <c r="J581" s="22"/>
      <c r="K581" s="19"/>
    </row>
    <row r="582" spans="10:11" x14ac:dyDescent="0.3">
      <c r="J582" s="22"/>
      <c r="K582" s="19"/>
    </row>
    <row r="583" spans="10:11" x14ac:dyDescent="0.3">
      <c r="J583" s="22"/>
      <c r="K583" s="19"/>
    </row>
    <row r="584" spans="10:11" x14ac:dyDescent="0.3">
      <c r="J584" s="22"/>
      <c r="K584" s="19"/>
    </row>
    <row r="585" spans="10:11" x14ac:dyDescent="0.3">
      <c r="J585" s="22"/>
      <c r="K585" s="19"/>
    </row>
    <row r="586" spans="10:11" x14ac:dyDescent="0.3">
      <c r="J586" s="22"/>
      <c r="K586" s="19"/>
    </row>
    <row r="587" spans="10:11" x14ac:dyDescent="0.3">
      <c r="J587" s="22"/>
      <c r="K587" s="19"/>
    </row>
    <row r="588" spans="10:11" x14ac:dyDescent="0.3">
      <c r="J588" s="22"/>
      <c r="K588" s="19"/>
    </row>
    <row r="589" spans="10:11" x14ac:dyDescent="0.3">
      <c r="J589" s="22"/>
      <c r="K589" s="19"/>
    </row>
    <row r="590" spans="10:11" x14ac:dyDescent="0.3">
      <c r="J590" s="22"/>
      <c r="K590" s="19"/>
    </row>
    <row r="591" spans="10:11" x14ac:dyDescent="0.3">
      <c r="J591" s="22"/>
      <c r="K591" s="19"/>
    </row>
    <row r="592" spans="10:11" x14ac:dyDescent="0.3">
      <c r="J592" s="22"/>
      <c r="K592" s="19"/>
    </row>
    <row r="593" spans="10:11" x14ac:dyDescent="0.3">
      <c r="J593" s="22"/>
      <c r="K593" s="19"/>
    </row>
    <row r="594" spans="10:11" x14ac:dyDescent="0.3">
      <c r="J594" s="22"/>
      <c r="K594" s="19"/>
    </row>
    <row r="595" spans="10:11" x14ac:dyDescent="0.3">
      <c r="J595" s="22"/>
      <c r="K595" s="19"/>
    </row>
    <row r="596" spans="10:11" x14ac:dyDescent="0.3">
      <c r="J596" s="22"/>
      <c r="K596" s="19"/>
    </row>
    <row r="597" spans="10:11" x14ac:dyDescent="0.3">
      <c r="J597" s="22"/>
      <c r="K597" s="19"/>
    </row>
    <row r="598" spans="10:11" x14ac:dyDescent="0.3">
      <c r="J598" s="22"/>
      <c r="K598" s="19"/>
    </row>
    <row r="599" spans="10:11" x14ac:dyDescent="0.3">
      <c r="J599" s="22"/>
      <c r="K599" s="19"/>
    </row>
    <row r="600" spans="10:11" x14ac:dyDescent="0.3">
      <c r="J600" s="22"/>
      <c r="K600" s="19"/>
    </row>
    <row r="601" spans="10:11" x14ac:dyDescent="0.3">
      <c r="J601" s="22"/>
      <c r="K601" s="19"/>
    </row>
    <row r="602" spans="10:11" x14ac:dyDescent="0.3">
      <c r="J602" s="22"/>
      <c r="K602" s="19"/>
    </row>
    <row r="603" spans="10:11" x14ac:dyDescent="0.3">
      <c r="J603" s="22"/>
      <c r="K603" s="19"/>
    </row>
    <row r="604" spans="10:11" x14ac:dyDescent="0.3">
      <c r="J604" s="22"/>
      <c r="K604" s="19"/>
    </row>
    <row r="605" spans="10:11" x14ac:dyDescent="0.3">
      <c r="J605" s="22"/>
      <c r="K605" s="19"/>
    </row>
    <row r="606" spans="10:11" x14ac:dyDescent="0.3">
      <c r="J606" s="22"/>
      <c r="K606" s="19"/>
    </row>
    <row r="607" spans="10:11" x14ac:dyDescent="0.3">
      <c r="J607" s="22"/>
      <c r="K607" s="19"/>
    </row>
    <row r="608" spans="10:11" x14ac:dyDescent="0.3">
      <c r="J608" s="22"/>
      <c r="K608" s="19"/>
    </row>
    <row r="609" spans="10:11" x14ac:dyDescent="0.3">
      <c r="J609" s="22"/>
      <c r="K609" s="19"/>
    </row>
    <row r="610" spans="10:11" x14ac:dyDescent="0.3">
      <c r="J610" s="22"/>
      <c r="K610" s="19"/>
    </row>
    <row r="611" spans="10:11" x14ac:dyDescent="0.3">
      <c r="J611" s="22"/>
      <c r="K611" s="19"/>
    </row>
    <row r="612" spans="10:11" x14ac:dyDescent="0.3">
      <c r="J612" s="22"/>
      <c r="K612" s="19"/>
    </row>
    <row r="613" spans="10:11" x14ac:dyDescent="0.3">
      <c r="J613" s="22"/>
      <c r="K613" s="19"/>
    </row>
    <row r="614" spans="10:11" x14ac:dyDescent="0.3">
      <c r="J614" s="22"/>
      <c r="K614" s="19"/>
    </row>
    <row r="615" spans="10:11" x14ac:dyDescent="0.3">
      <c r="J615" s="22"/>
      <c r="K615" s="19"/>
    </row>
    <row r="616" spans="10:11" x14ac:dyDescent="0.3">
      <c r="J616" s="22"/>
      <c r="K616" s="19"/>
    </row>
    <row r="617" spans="10:11" x14ac:dyDescent="0.3">
      <c r="J617" s="22"/>
      <c r="K617" s="19"/>
    </row>
    <row r="618" spans="10:11" x14ac:dyDescent="0.3">
      <c r="J618" s="22"/>
      <c r="K618" s="19"/>
    </row>
    <row r="619" spans="10:11" x14ac:dyDescent="0.3">
      <c r="J619" s="22"/>
      <c r="K619" s="19"/>
    </row>
    <row r="620" spans="10:11" x14ac:dyDescent="0.3">
      <c r="J620" s="22"/>
      <c r="K620" s="19"/>
    </row>
    <row r="621" spans="10:11" x14ac:dyDescent="0.3">
      <c r="J621" s="22"/>
      <c r="K621" s="19"/>
    </row>
    <row r="622" spans="10:11" x14ac:dyDescent="0.3">
      <c r="J622" s="22"/>
      <c r="K622" s="19"/>
    </row>
    <row r="623" spans="10:11" x14ac:dyDescent="0.3">
      <c r="J623" s="22"/>
      <c r="K623" s="19"/>
    </row>
    <row r="624" spans="10:11" x14ac:dyDescent="0.3">
      <c r="J624" s="22"/>
      <c r="K624" s="19"/>
    </row>
    <row r="625" spans="10:11" x14ac:dyDescent="0.3">
      <c r="J625" s="22"/>
      <c r="K625" s="19"/>
    </row>
    <row r="626" spans="10:11" x14ac:dyDescent="0.3">
      <c r="J626" s="22"/>
      <c r="K626" s="19"/>
    </row>
    <row r="627" spans="10:11" x14ac:dyDescent="0.3">
      <c r="J627" s="22"/>
      <c r="K627" s="19"/>
    </row>
    <row r="628" spans="10:11" x14ac:dyDescent="0.3">
      <c r="J628" s="22"/>
      <c r="K628" s="19"/>
    </row>
    <row r="629" spans="10:11" x14ac:dyDescent="0.3">
      <c r="J629" s="22"/>
      <c r="K629" s="19"/>
    </row>
    <row r="630" spans="10:11" x14ac:dyDescent="0.3">
      <c r="J630" s="22"/>
      <c r="K630" s="19"/>
    </row>
    <row r="631" spans="10:11" x14ac:dyDescent="0.3">
      <c r="J631" s="22"/>
      <c r="K631" s="19"/>
    </row>
    <row r="632" spans="10:11" x14ac:dyDescent="0.3">
      <c r="J632" s="22"/>
      <c r="K632" s="19"/>
    </row>
    <row r="633" spans="10:11" x14ac:dyDescent="0.3">
      <c r="J633" s="22"/>
      <c r="K633" s="19"/>
    </row>
    <row r="634" spans="10:11" x14ac:dyDescent="0.3">
      <c r="J634" s="22"/>
      <c r="K634" s="19"/>
    </row>
    <row r="635" spans="10:11" x14ac:dyDescent="0.3">
      <c r="J635" s="22"/>
      <c r="K635" s="19"/>
    </row>
    <row r="636" spans="10:11" x14ac:dyDescent="0.3">
      <c r="J636" s="22"/>
      <c r="K636" s="19"/>
    </row>
    <row r="637" spans="10:11" x14ac:dyDescent="0.3">
      <c r="J637" s="22"/>
      <c r="K637" s="19"/>
    </row>
    <row r="638" spans="10:11" x14ac:dyDescent="0.3">
      <c r="J638" s="22"/>
      <c r="K638" s="19"/>
    </row>
    <row r="639" spans="10:11" x14ac:dyDescent="0.3">
      <c r="J639" s="22"/>
      <c r="K639" s="19"/>
    </row>
    <row r="640" spans="10:11" x14ac:dyDescent="0.3">
      <c r="J640" s="22"/>
      <c r="K640" s="19"/>
    </row>
    <row r="641" spans="10:11" x14ac:dyDescent="0.3">
      <c r="J641" s="22"/>
      <c r="K641" s="19"/>
    </row>
    <row r="642" spans="10:11" x14ac:dyDescent="0.3">
      <c r="J642" s="22"/>
      <c r="K642" s="19"/>
    </row>
    <row r="643" spans="10:11" x14ac:dyDescent="0.3">
      <c r="J643" s="22"/>
      <c r="K643" s="19"/>
    </row>
    <row r="644" spans="10:11" x14ac:dyDescent="0.3">
      <c r="J644" s="22"/>
      <c r="K644" s="19"/>
    </row>
    <row r="645" spans="10:11" x14ac:dyDescent="0.3">
      <c r="J645" s="22"/>
      <c r="K645" s="19"/>
    </row>
    <row r="646" spans="10:11" x14ac:dyDescent="0.3">
      <c r="J646" s="22"/>
      <c r="K646" s="19"/>
    </row>
    <row r="647" spans="10:11" x14ac:dyDescent="0.3">
      <c r="J647" s="22"/>
      <c r="K647" s="19"/>
    </row>
    <row r="648" spans="10:11" x14ac:dyDescent="0.3">
      <c r="J648" s="22"/>
      <c r="K648" s="19"/>
    </row>
    <row r="649" spans="10:11" x14ac:dyDescent="0.3">
      <c r="J649" s="22"/>
      <c r="K649" s="19"/>
    </row>
    <row r="650" spans="10:11" x14ac:dyDescent="0.3">
      <c r="J650" s="22"/>
      <c r="K650" s="19"/>
    </row>
    <row r="651" spans="10:11" x14ac:dyDescent="0.3">
      <c r="J651" s="22"/>
      <c r="K651" s="19"/>
    </row>
    <row r="652" spans="10:11" x14ac:dyDescent="0.3">
      <c r="J652" s="22"/>
      <c r="K652" s="19"/>
    </row>
    <row r="653" spans="10:11" x14ac:dyDescent="0.3">
      <c r="J653" s="22"/>
      <c r="K653" s="19"/>
    </row>
    <row r="654" spans="10:11" x14ac:dyDescent="0.3">
      <c r="J654" s="22"/>
      <c r="K654" s="19"/>
    </row>
    <row r="655" spans="10:11" x14ac:dyDescent="0.3">
      <c r="J655" s="22"/>
      <c r="K655" s="19"/>
    </row>
    <row r="656" spans="10:11" x14ac:dyDescent="0.3">
      <c r="J656" s="22"/>
      <c r="K656" s="19"/>
    </row>
    <row r="657" spans="10:11" x14ac:dyDescent="0.3">
      <c r="J657" s="22"/>
      <c r="K657" s="19"/>
    </row>
    <row r="658" spans="10:11" x14ac:dyDescent="0.3">
      <c r="J658" s="22"/>
      <c r="K658" s="19"/>
    </row>
    <row r="659" spans="10:11" x14ac:dyDescent="0.3">
      <c r="J659" s="22"/>
      <c r="K659" s="19"/>
    </row>
    <row r="660" spans="10:11" x14ac:dyDescent="0.3">
      <c r="J660" s="22"/>
      <c r="K660" s="19"/>
    </row>
    <row r="661" spans="10:11" x14ac:dyDescent="0.3">
      <c r="J661" s="22"/>
      <c r="K661" s="19"/>
    </row>
    <row r="662" spans="10:11" x14ac:dyDescent="0.3">
      <c r="J662" s="22"/>
      <c r="K662" s="19"/>
    </row>
    <row r="663" spans="10:11" x14ac:dyDescent="0.3">
      <c r="J663" s="22"/>
      <c r="K663" s="19"/>
    </row>
    <row r="664" spans="10:11" x14ac:dyDescent="0.3">
      <c r="J664" s="22"/>
      <c r="K664" s="19"/>
    </row>
    <row r="665" spans="10:11" x14ac:dyDescent="0.3">
      <c r="J665" s="22"/>
      <c r="K665" s="19"/>
    </row>
    <row r="666" spans="10:11" x14ac:dyDescent="0.3">
      <c r="J666" s="22"/>
      <c r="K666" s="19"/>
    </row>
    <row r="667" spans="10:11" x14ac:dyDescent="0.3">
      <c r="J667" s="22"/>
      <c r="K667" s="19"/>
    </row>
    <row r="668" spans="10:11" x14ac:dyDescent="0.3">
      <c r="J668" s="22"/>
      <c r="K668" s="19"/>
    </row>
    <row r="669" spans="10:11" x14ac:dyDescent="0.3">
      <c r="J669" s="22"/>
      <c r="K669" s="19"/>
    </row>
    <row r="670" spans="10:11" x14ac:dyDescent="0.3">
      <c r="J670" s="22"/>
      <c r="K670" s="19"/>
    </row>
    <row r="671" spans="10:11" x14ac:dyDescent="0.3">
      <c r="J671" s="22"/>
      <c r="K671" s="19"/>
    </row>
    <row r="672" spans="10:11" x14ac:dyDescent="0.3">
      <c r="J672" s="22"/>
      <c r="K672" s="19"/>
    </row>
    <row r="673" spans="10:11" x14ac:dyDescent="0.3">
      <c r="J673" s="22"/>
      <c r="K673" s="19"/>
    </row>
    <row r="674" spans="10:11" x14ac:dyDescent="0.3">
      <c r="J674" s="22"/>
      <c r="K674" s="19"/>
    </row>
    <row r="675" spans="10:11" x14ac:dyDescent="0.3">
      <c r="J675" s="22"/>
      <c r="K675" s="19"/>
    </row>
    <row r="676" spans="10:11" x14ac:dyDescent="0.3">
      <c r="J676" s="22"/>
      <c r="K676" s="19"/>
    </row>
    <row r="677" spans="10:11" x14ac:dyDescent="0.3">
      <c r="J677" s="22"/>
      <c r="K677" s="19"/>
    </row>
    <row r="678" spans="10:11" x14ac:dyDescent="0.3">
      <c r="J678" s="22"/>
      <c r="K678" s="19"/>
    </row>
    <row r="679" spans="10:11" x14ac:dyDescent="0.3">
      <c r="J679" s="22"/>
      <c r="K679" s="19"/>
    </row>
    <row r="680" spans="10:11" x14ac:dyDescent="0.3">
      <c r="J680" s="22"/>
      <c r="K680" s="19"/>
    </row>
    <row r="681" spans="10:11" x14ac:dyDescent="0.3">
      <c r="J681" s="22"/>
      <c r="K681" s="19"/>
    </row>
    <row r="682" spans="10:11" x14ac:dyDescent="0.3">
      <c r="J682" s="22"/>
      <c r="K682" s="19"/>
    </row>
    <row r="683" spans="10:11" x14ac:dyDescent="0.3">
      <c r="J683" s="22"/>
      <c r="K683" s="19"/>
    </row>
    <row r="684" spans="10:11" x14ac:dyDescent="0.3">
      <c r="J684" s="22"/>
      <c r="K684" s="19"/>
    </row>
    <row r="685" spans="10:11" x14ac:dyDescent="0.3">
      <c r="J685" s="22"/>
      <c r="K685" s="19"/>
    </row>
    <row r="686" spans="10:11" x14ac:dyDescent="0.3">
      <c r="J686" s="22"/>
      <c r="K686" s="19"/>
    </row>
    <row r="687" spans="10:11" x14ac:dyDescent="0.3">
      <c r="J687" s="22"/>
      <c r="K687" s="19"/>
    </row>
    <row r="688" spans="10:11" x14ac:dyDescent="0.3">
      <c r="J688" s="22"/>
      <c r="K688" s="19"/>
    </row>
    <row r="689" spans="10:11" x14ac:dyDescent="0.3">
      <c r="J689" s="22"/>
      <c r="K689" s="19"/>
    </row>
    <row r="690" spans="10:11" x14ac:dyDescent="0.3">
      <c r="J690" s="22"/>
      <c r="K690" s="19"/>
    </row>
    <row r="691" spans="10:11" x14ac:dyDescent="0.3">
      <c r="J691" s="22"/>
      <c r="K691" s="19"/>
    </row>
    <row r="692" spans="10:11" x14ac:dyDescent="0.3">
      <c r="J692" s="22"/>
      <c r="K692" s="19"/>
    </row>
    <row r="693" spans="10:11" x14ac:dyDescent="0.3">
      <c r="J693" s="22"/>
      <c r="K693" s="19"/>
    </row>
    <row r="694" spans="10:11" x14ac:dyDescent="0.3">
      <c r="J694" s="22"/>
      <c r="K694" s="19"/>
    </row>
    <row r="695" spans="10:11" x14ac:dyDescent="0.3">
      <c r="J695" s="22"/>
      <c r="K695" s="19"/>
    </row>
    <row r="696" spans="10:11" x14ac:dyDescent="0.3">
      <c r="J696" s="22"/>
      <c r="K696" s="19"/>
    </row>
    <row r="697" spans="10:11" x14ac:dyDescent="0.3">
      <c r="J697" s="22"/>
      <c r="K697" s="19"/>
    </row>
    <row r="698" spans="10:11" x14ac:dyDescent="0.3">
      <c r="J698" s="22"/>
      <c r="K698" s="19"/>
    </row>
    <row r="699" spans="10:11" x14ac:dyDescent="0.3">
      <c r="J699" s="22"/>
      <c r="K699" s="19"/>
    </row>
    <row r="700" spans="10:11" x14ac:dyDescent="0.3">
      <c r="J700" s="22"/>
      <c r="K700" s="19"/>
    </row>
    <row r="701" spans="10:11" x14ac:dyDescent="0.3">
      <c r="J701" s="22"/>
      <c r="K701" s="19"/>
    </row>
    <row r="702" spans="10:11" x14ac:dyDescent="0.3">
      <c r="J702" s="22"/>
      <c r="K702" s="19"/>
    </row>
    <row r="703" spans="10:11" x14ac:dyDescent="0.3">
      <c r="J703" s="22"/>
      <c r="K703" s="19"/>
    </row>
    <row r="704" spans="10:11" x14ac:dyDescent="0.3">
      <c r="J704" s="22"/>
      <c r="K704" s="19"/>
    </row>
    <row r="705" spans="10:11" x14ac:dyDescent="0.3">
      <c r="J705" s="22"/>
      <c r="K705" s="19"/>
    </row>
    <row r="706" spans="10:11" x14ac:dyDescent="0.3">
      <c r="J706" s="22"/>
      <c r="K706" s="19"/>
    </row>
    <row r="707" spans="10:11" x14ac:dyDescent="0.3">
      <c r="J707" s="22"/>
      <c r="K707" s="19"/>
    </row>
    <row r="708" spans="10:11" x14ac:dyDescent="0.3">
      <c r="J708" s="22"/>
      <c r="K708" s="19"/>
    </row>
    <row r="709" spans="10:11" x14ac:dyDescent="0.3">
      <c r="J709" s="22"/>
      <c r="K709" s="19"/>
    </row>
    <row r="710" spans="10:11" x14ac:dyDescent="0.3">
      <c r="J710" s="22"/>
      <c r="K710" s="19"/>
    </row>
    <row r="711" spans="10:11" x14ac:dyDescent="0.3">
      <c r="J711" s="22"/>
      <c r="K711" s="19"/>
    </row>
    <row r="712" spans="10:11" x14ac:dyDescent="0.3">
      <c r="J712" s="22"/>
      <c r="K712" s="19"/>
    </row>
    <row r="713" spans="10:11" x14ac:dyDescent="0.3">
      <c r="J713" s="22"/>
      <c r="K713" s="19"/>
    </row>
    <row r="714" spans="10:11" x14ac:dyDescent="0.3">
      <c r="J714" s="22"/>
      <c r="K714" s="19"/>
    </row>
    <row r="715" spans="10:11" x14ac:dyDescent="0.3">
      <c r="J715" s="22"/>
      <c r="K715" s="19"/>
    </row>
    <row r="716" spans="10:11" x14ac:dyDescent="0.3">
      <c r="J716" s="22"/>
      <c r="K716" s="19"/>
    </row>
    <row r="717" spans="10:11" x14ac:dyDescent="0.3">
      <c r="J717" s="22"/>
      <c r="K717" s="19"/>
    </row>
    <row r="718" spans="10:11" x14ac:dyDescent="0.3">
      <c r="J718" s="22"/>
      <c r="K718" s="19"/>
    </row>
    <row r="719" spans="10:11" x14ac:dyDescent="0.3">
      <c r="J719" s="22"/>
      <c r="K719" s="19"/>
    </row>
    <row r="720" spans="10:11" x14ac:dyDescent="0.3">
      <c r="J720" s="22"/>
      <c r="K720" s="19"/>
    </row>
    <row r="721" spans="10:11" x14ac:dyDescent="0.3">
      <c r="J721" s="22"/>
      <c r="K721" s="19"/>
    </row>
    <row r="722" spans="10:11" x14ac:dyDescent="0.3">
      <c r="J722" s="22"/>
      <c r="K722" s="19"/>
    </row>
    <row r="723" spans="10:11" x14ac:dyDescent="0.3">
      <c r="J723" s="22"/>
      <c r="K723" s="19"/>
    </row>
    <row r="724" spans="10:11" x14ac:dyDescent="0.3">
      <c r="J724" s="22"/>
      <c r="K724" s="19"/>
    </row>
    <row r="725" spans="10:11" x14ac:dyDescent="0.3">
      <c r="J725" s="22"/>
      <c r="K725" s="19"/>
    </row>
    <row r="726" spans="10:11" x14ac:dyDescent="0.3">
      <c r="J726" s="22"/>
      <c r="K726" s="19"/>
    </row>
    <row r="727" spans="10:11" x14ac:dyDescent="0.3">
      <c r="J727" s="22"/>
      <c r="K727" s="19"/>
    </row>
    <row r="728" spans="10:11" x14ac:dyDescent="0.3">
      <c r="J728" s="22"/>
      <c r="K728" s="19"/>
    </row>
    <row r="729" spans="10:11" x14ac:dyDescent="0.3">
      <c r="J729" s="22"/>
      <c r="K729" s="19"/>
    </row>
    <row r="730" spans="10:11" x14ac:dyDescent="0.3">
      <c r="J730" s="22"/>
      <c r="K730" s="19"/>
    </row>
    <row r="731" spans="10:11" x14ac:dyDescent="0.3">
      <c r="J731" s="22"/>
      <c r="K731" s="19"/>
    </row>
    <row r="732" spans="10:11" x14ac:dyDescent="0.3">
      <c r="J732" s="22"/>
      <c r="K732" s="19"/>
    </row>
    <row r="733" spans="10:11" x14ac:dyDescent="0.3">
      <c r="J733" s="22"/>
      <c r="K733" s="19"/>
    </row>
    <row r="734" spans="10:11" x14ac:dyDescent="0.3">
      <c r="J734" s="22"/>
      <c r="K734" s="19"/>
    </row>
    <row r="735" spans="10:11" x14ac:dyDescent="0.3">
      <c r="J735" s="22"/>
      <c r="K735" s="19"/>
    </row>
    <row r="736" spans="10:11" x14ac:dyDescent="0.3">
      <c r="J736" s="22"/>
      <c r="K736" s="19"/>
    </row>
    <row r="737" spans="10:11" x14ac:dyDescent="0.3">
      <c r="J737" s="22"/>
      <c r="K737" s="19"/>
    </row>
    <row r="738" spans="10:11" x14ac:dyDescent="0.3">
      <c r="J738" s="22"/>
      <c r="K738" s="19"/>
    </row>
    <row r="739" spans="10:11" x14ac:dyDescent="0.3">
      <c r="J739" s="22"/>
      <c r="K739" s="19"/>
    </row>
    <row r="740" spans="10:11" x14ac:dyDescent="0.3">
      <c r="J740" s="22"/>
      <c r="K740" s="19"/>
    </row>
    <row r="741" spans="10:11" x14ac:dyDescent="0.3">
      <c r="J741" s="22"/>
      <c r="K741" s="19"/>
    </row>
    <row r="742" spans="10:11" x14ac:dyDescent="0.3">
      <c r="J742" s="22"/>
      <c r="K742" s="19"/>
    </row>
    <row r="743" spans="10:11" x14ac:dyDescent="0.3">
      <c r="J743" s="22"/>
      <c r="K743" s="19"/>
    </row>
    <row r="744" spans="10:11" x14ac:dyDescent="0.3">
      <c r="J744" s="22"/>
      <c r="K744" s="19"/>
    </row>
    <row r="745" spans="10:11" x14ac:dyDescent="0.3">
      <c r="J745" s="22"/>
      <c r="K745" s="19"/>
    </row>
    <row r="746" spans="10:11" x14ac:dyDescent="0.3">
      <c r="J746" s="22"/>
      <c r="K746" s="19"/>
    </row>
    <row r="747" spans="10:11" x14ac:dyDescent="0.3">
      <c r="J747" s="22"/>
      <c r="K747" s="19"/>
    </row>
    <row r="748" spans="10:11" x14ac:dyDescent="0.3">
      <c r="J748" s="22"/>
      <c r="K748" s="19"/>
    </row>
    <row r="749" spans="10:11" x14ac:dyDescent="0.3">
      <c r="J749" s="22"/>
      <c r="K749" s="19"/>
    </row>
    <row r="750" spans="10:11" x14ac:dyDescent="0.3">
      <c r="J750" s="22"/>
      <c r="K750" s="19"/>
    </row>
    <row r="751" spans="10:11" x14ac:dyDescent="0.3">
      <c r="J751" s="22"/>
      <c r="K751" s="19"/>
    </row>
    <row r="752" spans="10:11" x14ac:dyDescent="0.3">
      <c r="J752" s="22"/>
      <c r="K752" s="19"/>
    </row>
    <row r="753" spans="10:11" x14ac:dyDescent="0.3">
      <c r="J753" s="22"/>
      <c r="K753" s="19"/>
    </row>
    <row r="754" spans="10:11" x14ac:dyDescent="0.3">
      <c r="J754" s="22"/>
      <c r="K754" s="19"/>
    </row>
    <row r="755" spans="10:11" x14ac:dyDescent="0.3">
      <c r="J755" s="22"/>
      <c r="K755" s="19"/>
    </row>
    <row r="756" spans="10:11" x14ac:dyDescent="0.3">
      <c r="J756" s="22"/>
      <c r="K756" s="19"/>
    </row>
    <row r="757" spans="10:11" x14ac:dyDescent="0.3">
      <c r="J757" s="22"/>
      <c r="K757" s="19"/>
    </row>
    <row r="758" spans="10:11" x14ac:dyDescent="0.3">
      <c r="J758" s="22"/>
      <c r="K758" s="19"/>
    </row>
    <row r="759" spans="10:11" x14ac:dyDescent="0.3">
      <c r="J759" s="22"/>
      <c r="K759" s="19"/>
    </row>
    <row r="760" spans="10:11" x14ac:dyDescent="0.3">
      <c r="J760" s="22"/>
      <c r="K760" s="19"/>
    </row>
    <row r="761" spans="10:11" x14ac:dyDescent="0.3">
      <c r="J761" s="22"/>
      <c r="K761" s="19"/>
    </row>
    <row r="762" spans="10:11" x14ac:dyDescent="0.3">
      <c r="J762" s="22"/>
      <c r="K762" s="19"/>
    </row>
    <row r="763" spans="10:11" x14ac:dyDescent="0.3">
      <c r="J763" s="22"/>
      <c r="K763" s="19"/>
    </row>
    <row r="764" spans="10:11" x14ac:dyDescent="0.3">
      <c r="J764" s="22"/>
      <c r="K764" s="19"/>
    </row>
    <row r="765" spans="10:11" x14ac:dyDescent="0.3">
      <c r="J765" s="22"/>
      <c r="K765" s="19"/>
    </row>
    <row r="766" spans="10:11" x14ac:dyDescent="0.3">
      <c r="J766" s="22"/>
      <c r="K766" s="19"/>
    </row>
    <row r="767" spans="10:11" x14ac:dyDescent="0.3">
      <c r="J767" s="22"/>
      <c r="K767" s="19"/>
    </row>
    <row r="768" spans="10:11" x14ac:dyDescent="0.3">
      <c r="J768" s="22"/>
      <c r="K768" s="19"/>
    </row>
    <row r="769" spans="10:11" x14ac:dyDescent="0.3">
      <c r="J769" s="22"/>
      <c r="K769" s="19"/>
    </row>
    <row r="770" spans="10:11" x14ac:dyDescent="0.3">
      <c r="J770" s="22"/>
      <c r="K770" s="19"/>
    </row>
    <row r="771" spans="10:11" x14ac:dyDescent="0.3">
      <c r="J771" s="22"/>
      <c r="K771" s="19"/>
    </row>
    <row r="772" spans="10:11" x14ac:dyDescent="0.3">
      <c r="J772" s="22"/>
      <c r="K772" s="19"/>
    </row>
    <row r="773" spans="10:11" x14ac:dyDescent="0.3">
      <c r="J773" s="22"/>
      <c r="K773" s="19"/>
    </row>
    <row r="774" spans="10:11" x14ac:dyDescent="0.3">
      <c r="J774" s="22"/>
      <c r="K774" s="19"/>
    </row>
    <row r="775" spans="10:11" x14ac:dyDescent="0.3">
      <c r="J775" s="22"/>
      <c r="K775" s="19"/>
    </row>
    <row r="776" spans="10:11" x14ac:dyDescent="0.3">
      <c r="J776" s="22"/>
      <c r="K776" s="19"/>
    </row>
    <row r="777" spans="10:11" x14ac:dyDescent="0.3">
      <c r="J777" s="22"/>
      <c r="K777" s="19"/>
    </row>
    <row r="778" spans="10:11" x14ac:dyDescent="0.3">
      <c r="J778" s="22"/>
      <c r="K778" s="19"/>
    </row>
    <row r="779" spans="10:11" x14ac:dyDescent="0.3">
      <c r="J779" s="22"/>
      <c r="K779" s="19"/>
    </row>
    <row r="780" spans="10:11" x14ac:dyDescent="0.3">
      <c r="J780" s="22"/>
      <c r="K780" s="19"/>
    </row>
    <row r="781" spans="10:11" x14ac:dyDescent="0.3">
      <c r="J781" s="22"/>
      <c r="K781" s="19"/>
    </row>
    <row r="782" spans="10:11" x14ac:dyDescent="0.3">
      <c r="J782" s="22"/>
      <c r="K782" s="19"/>
    </row>
    <row r="783" spans="10:11" x14ac:dyDescent="0.3">
      <c r="J783" s="22"/>
      <c r="K783" s="19"/>
    </row>
    <row r="784" spans="10:11" x14ac:dyDescent="0.3">
      <c r="J784" s="22"/>
      <c r="K784" s="19"/>
    </row>
    <row r="785" spans="10:11" x14ac:dyDescent="0.3">
      <c r="J785" s="22"/>
      <c r="K785" s="19"/>
    </row>
    <row r="786" spans="10:11" x14ac:dyDescent="0.3">
      <c r="J786" s="22"/>
      <c r="K786" s="19"/>
    </row>
    <row r="787" spans="10:11" x14ac:dyDescent="0.3">
      <c r="J787" s="22"/>
      <c r="K787" s="19"/>
    </row>
    <row r="788" spans="10:11" x14ac:dyDescent="0.3">
      <c r="J788" s="22"/>
      <c r="K788" s="19"/>
    </row>
    <row r="789" spans="10:11" x14ac:dyDescent="0.3">
      <c r="J789" s="22"/>
      <c r="K789" s="19"/>
    </row>
    <row r="790" spans="10:11" x14ac:dyDescent="0.3">
      <c r="J790" s="22"/>
      <c r="K790" s="19"/>
    </row>
    <row r="791" spans="10:11" x14ac:dyDescent="0.3">
      <c r="J791" s="22"/>
      <c r="K791" s="19"/>
    </row>
    <row r="792" spans="10:11" x14ac:dyDescent="0.3">
      <c r="J792" s="22"/>
      <c r="K792" s="19"/>
    </row>
    <row r="793" spans="10:11" x14ac:dyDescent="0.3">
      <c r="J793" s="22"/>
      <c r="K793" s="19"/>
    </row>
    <row r="794" spans="10:11" x14ac:dyDescent="0.3">
      <c r="J794" s="22"/>
      <c r="K794" s="19"/>
    </row>
    <row r="795" spans="10:11" x14ac:dyDescent="0.3">
      <c r="J795" s="22"/>
      <c r="K795" s="19"/>
    </row>
    <row r="796" spans="10:11" x14ac:dyDescent="0.3">
      <c r="J796" s="22"/>
      <c r="K796" s="19"/>
    </row>
    <row r="797" spans="10:11" x14ac:dyDescent="0.3">
      <c r="J797" s="22"/>
      <c r="K797" s="19"/>
    </row>
    <row r="798" spans="10:11" x14ac:dyDescent="0.3">
      <c r="J798" s="22"/>
      <c r="K798" s="19"/>
    </row>
    <row r="799" spans="10:11" x14ac:dyDescent="0.3">
      <c r="J799" s="22"/>
      <c r="K799" s="19"/>
    </row>
    <row r="800" spans="10:11" x14ac:dyDescent="0.3">
      <c r="J800" s="22"/>
      <c r="K800" s="19"/>
    </row>
    <row r="801" spans="10:11" x14ac:dyDescent="0.3">
      <c r="J801" s="22"/>
      <c r="K801" s="19"/>
    </row>
    <row r="802" spans="10:11" x14ac:dyDescent="0.3">
      <c r="J802" s="22"/>
      <c r="K802" s="19"/>
    </row>
    <row r="803" spans="10:11" x14ac:dyDescent="0.3">
      <c r="J803" s="22"/>
      <c r="K803" s="19"/>
    </row>
    <row r="804" spans="10:11" x14ac:dyDescent="0.3">
      <c r="J804" s="22"/>
      <c r="K804" s="19"/>
    </row>
    <row r="805" spans="10:11" x14ac:dyDescent="0.3">
      <c r="J805" s="22"/>
      <c r="K805" s="19"/>
    </row>
    <row r="806" spans="10:11" x14ac:dyDescent="0.3">
      <c r="J806" s="22"/>
      <c r="K806" s="19"/>
    </row>
    <row r="807" spans="10:11" x14ac:dyDescent="0.3">
      <c r="J807" s="22"/>
      <c r="K807" s="19"/>
    </row>
    <row r="808" spans="10:11" x14ac:dyDescent="0.3">
      <c r="J808" s="22"/>
      <c r="K808" s="19"/>
    </row>
    <row r="809" spans="10:11" x14ac:dyDescent="0.3">
      <c r="J809" s="22"/>
      <c r="K809" s="19"/>
    </row>
    <row r="810" spans="10:11" x14ac:dyDescent="0.3">
      <c r="J810" s="22"/>
      <c r="K810" s="19"/>
    </row>
    <row r="811" spans="10:11" x14ac:dyDescent="0.3">
      <c r="J811" s="22"/>
      <c r="K811" s="19"/>
    </row>
    <row r="812" spans="10:11" x14ac:dyDescent="0.3">
      <c r="J812" s="22"/>
      <c r="K812" s="19"/>
    </row>
    <row r="813" spans="10:11" x14ac:dyDescent="0.3">
      <c r="J813" s="22"/>
      <c r="K813" s="19"/>
    </row>
    <row r="814" spans="10:11" x14ac:dyDescent="0.3">
      <c r="J814" s="22"/>
      <c r="K814" s="19"/>
    </row>
    <row r="815" spans="10:11" x14ac:dyDescent="0.3">
      <c r="J815" s="22"/>
      <c r="K815" s="19"/>
    </row>
    <row r="816" spans="10:11" x14ac:dyDescent="0.3">
      <c r="J816" s="22"/>
      <c r="K816" s="19"/>
    </row>
    <row r="817" spans="10:11" x14ac:dyDescent="0.3">
      <c r="J817" s="22"/>
      <c r="K817" s="19"/>
    </row>
    <row r="818" spans="10:11" x14ac:dyDescent="0.3">
      <c r="J818" s="22"/>
      <c r="K818" s="19"/>
    </row>
    <row r="819" spans="10:11" x14ac:dyDescent="0.3">
      <c r="J819" s="22"/>
      <c r="K819" s="19"/>
    </row>
    <row r="820" spans="10:11" x14ac:dyDescent="0.3">
      <c r="J820" s="22"/>
      <c r="K820" s="19"/>
    </row>
    <row r="821" spans="10:11" x14ac:dyDescent="0.3">
      <c r="J821" s="22"/>
      <c r="K821" s="19"/>
    </row>
    <row r="822" spans="10:11" x14ac:dyDescent="0.3">
      <c r="J822" s="22"/>
      <c r="K822" s="19"/>
    </row>
    <row r="823" spans="10:11" x14ac:dyDescent="0.3">
      <c r="J823" s="22"/>
      <c r="K823" s="19"/>
    </row>
    <row r="824" spans="10:11" x14ac:dyDescent="0.3">
      <c r="J824" s="22"/>
      <c r="K824" s="19"/>
    </row>
    <row r="825" spans="10:11" x14ac:dyDescent="0.3">
      <c r="J825" s="22"/>
      <c r="K825" s="19"/>
    </row>
    <row r="826" spans="10:11" x14ac:dyDescent="0.3">
      <c r="J826" s="22"/>
      <c r="K826" s="19"/>
    </row>
    <row r="827" spans="10:11" x14ac:dyDescent="0.3">
      <c r="J827" s="22"/>
      <c r="K827" s="19"/>
    </row>
    <row r="828" spans="10:11" x14ac:dyDescent="0.3">
      <c r="J828" s="22"/>
      <c r="K828" s="19"/>
    </row>
    <row r="829" spans="10:11" x14ac:dyDescent="0.3">
      <c r="J829" s="22"/>
      <c r="K829" s="19"/>
    </row>
    <row r="830" spans="10:11" x14ac:dyDescent="0.3">
      <c r="J830" s="22"/>
      <c r="K830" s="19"/>
    </row>
    <row r="831" spans="10:11" x14ac:dyDescent="0.3">
      <c r="J831" s="22"/>
      <c r="K831" s="19"/>
    </row>
    <row r="832" spans="10:11" x14ac:dyDescent="0.3">
      <c r="J832" s="22"/>
      <c r="K832" s="19"/>
    </row>
    <row r="833" spans="10:11" x14ac:dyDescent="0.3">
      <c r="J833" s="22"/>
      <c r="K833" s="19"/>
    </row>
    <row r="834" spans="10:11" x14ac:dyDescent="0.3">
      <c r="J834" s="22"/>
      <c r="K834" s="19"/>
    </row>
    <row r="835" spans="10:11" x14ac:dyDescent="0.3">
      <c r="J835" s="22"/>
      <c r="K835" s="19"/>
    </row>
    <row r="836" spans="10:11" x14ac:dyDescent="0.3">
      <c r="J836" s="22"/>
      <c r="K836" s="19"/>
    </row>
    <row r="837" spans="10:11" x14ac:dyDescent="0.3">
      <c r="J837" s="22"/>
      <c r="K837" s="19"/>
    </row>
    <row r="838" spans="10:11" x14ac:dyDescent="0.3">
      <c r="J838" s="22"/>
      <c r="K838" s="19"/>
    </row>
    <row r="839" spans="10:11" x14ac:dyDescent="0.3">
      <c r="J839" s="22"/>
      <c r="K839" s="19"/>
    </row>
    <row r="840" spans="10:11" x14ac:dyDescent="0.3">
      <c r="J840" s="22"/>
      <c r="K840" s="19"/>
    </row>
    <row r="841" spans="10:11" x14ac:dyDescent="0.3">
      <c r="J841" s="22"/>
      <c r="K841" s="19"/>
    </row>
    <row r="842" spans="10:11" x14ac:dyDescent="0.3">
      <c r="J842" s="22"/>
      <c r="K842" s="19"/>
    </row>
    <row r="843" spans="10:11" x14ac:dyDescent="0.3">
      <c r="J843" s="22"/>
      <c r="K843" s="19"/>
    </row>
    <row r="844" spans="10:11" x14ac:dyDescent="0.3">
      <c r="J844" s="22"/>
      <c r="K844" s="19"/>
    </row>
    <row r="845" spans="10:11" x14ac:dyDescent="0.3">
      <c r="J845" s="22"/>
      <c r="K845" s="19"/>
    </row>
    <row r="846" spans="10:11" x14ac:dyDescent="0.3">
      <c r="J846" s="22"/>
      <c r="K846" s="19"/>
    </row>
    <row r="847" spans="10:11" x14ac:dyDescent="0.3">
      <c r="J847" s="22"/>
      <c r="K847" s="19"/>
    </row>
    <row r="848" spans="10:11" x14ac:dyDescent="0.3">
      <c r="J848" s="22"/>
      <c r="K848" s="19"/>
    </row>
    <row r="849" spans="10:11" x14ac:dyDescent="0.3">
      <c r="J849" s="22"/>
      <c r="K849" s="19"/>
    </row>
    <row r="850" spans="10:11" x14ac:dyDescent="0.3">
      <c r="J850" s="22"/>
      <c r="K850" s="19"/>
    </row>
    <row r="851" spans="10:11" x14ac:dyDescent="0.3">
      <c r="J851" s="22"/>
      <c r="K851" s="19"/>
    </row>
    <row r="852" spans="10:11" x14ac:dyDescent="0.3">
      <c r="J852" s="22"/>
      <c r="K852" s="19"/>
    </row>
    <row r="853" spans="10:11" x14ac:dyDescent="0.3">
      <c r="J853" s="22"/>
      <c r="K853" s="19"/>
    </row>
    <row r="854" spans="10:11" x14ac:dyDescent="0.3">
      <c r="J854" s="22"/>
      <c r="K854" s="19"/>
    </row>
    <row r="855" spans="10:11" x14ac:dyDescent="0.3">
      <c r="J855" s="22"/>
      <c r="K855" s="19"/>
    </row>
    <row r="856" spans="10:11" x14ac:dyDescent="0.3">
      <c r="J856" s="22"/>
      <c r="K856" s="19"/>
    </row>
    <row r="857" spans="10:11" x14ac:dyDescent="0.3">
      <c r="J857" s="22"/>
      <c r="K857" s="19"/>
    </row>
    <row r="858" spans="10:11" x14ac:dyDescent="0.3">
      <c r="J858" s="22"/>
      <c r="K858" s="19"/>
    </row>
    <row r="859" spans="10:11" x14ac:dyDescent="0.3">
      <c r="J859" s="22"/>
      <c r="K859" s="19"/>
    </row>
    <row r="860" spans="10:11" x14ac:dyDescent="0.3">
      <c r="J860" s="22"/>
      <c r="K860" s="19"/>
    </row>
    <row r="861" spans="10:11" x14ac:dyDescent="0.3">
      <c r="J861" s="22"/>
      <c r="K861" s="19"/>
    </row>
    <row r="862" spans="10:11" x14ac:dyDescent="0.3">
      <c r="J862" s="22"/>
      <c r="K862" s="19"/>
    </row>
    <row r="863" spans="10:11" x14ac:dyDescent="0.3">
      <c r="J863" s="22"/>
      <c r="K863" s="19"/>
    </row>
    <row r="864" spans="10:11" x14ac:dyDescent="0.3">
      <c r="J864" s="22"/>
      <c r="K864" s="19"/>
    </row>
    <row r="865" spans="10:11" x14ac:dyDescent="0.3">
      <c r="J865" s="22"/>
      <c r="K865" s="19"/>
    </row>
    <row r="866" spans="10:11" x14ac:dyDescent="0.3">
      <c r="J866" s="22"/>
      <c r="K866" s="19"/>
    </row>
    <row r="867" spans="10:11" x14ac:dyDescent="0.3">
      <c r="J867" s="22"/>
      <c r="K867" s="19"/>
    </row>
    <row r="868" spans="10:11" x14ac:dyDescent="0.3">
      <c r="J868" s="22"/>
      <c r="K868" s="19"/>
    </row>
    <row r="869" spans="10:11" x14ac:dyDescent="0.3">
      <c r="J869" s="22"/>
      <c r="K869" s="19"/>
    </row>
    <row r="870" spans="10:11" x14ac:dyDescent="0.3">
      <c r="J870" s="22"/>
      <c r="K870" s="19"/>
    </row>
    <row r="871" spans="10:11" x14ac:dyDescent="0.3">
      <c r="J871" s="22"/>
      <c r="K871" s="19"/>
    </row>
    <row r="872" spans="10:11" x14ac:dyDescent="0.3">
      <c r="J872" s="22"/>
      <c r="K872" s="19"/>
    </row>
    <row r="873" spans="10:11" x14ac:dyDescent="0.3">
      <c r="J873" s="22"/>
      <c r="K873" s="19"/>
    </row>
    <row r="874" spans="10:11" x14ac:dyDescent="0.3">
      <c r="J874" s="22"/>
      <c r="K874" s="19"/>
    </row>
    <row r="875" spans="10:11" x14ac:dyDescent="0.3">
      <c r="J875" s="22"/>
      <c r="K875" s="19"/>
    </row>
    <row r="876" spans="10:11" x14ac:dyDescent="0.3">
      <c r="J876" s="22"/>
      <c r="K876" s="19"/>
    </row>
    <row r="877" spans="10:11" x14ac:dyDescent="0.3">
      <c r="J877" s="22"/>
      <c r="K877" s="19"/>
    </row>
    <row r="878" spans="10:11" x14ac:dyDescent="0.3">
      <c r="J878" s="22"/>
      <c r="K878" s="19"/>
    </row>
    <row r="879" spans="10:11" x14ac:dyDescent="0.3">
      <c r="J879" s="22"/>
      <c r="K879" s="19"/>
    </row>
    <row r="880" spans="10:11" x14ac:dyDescent="0.3">
      <c r="J880" s="22"/>
      <c r="K880" s="19"/>
    </row>
    <row r="881" spans="10:11" x14ac:dyDescent="0.3">
      <c r="J881" s="22"/>
      <c r="K881" s="19"/>
    </row>
    <row r="882" spans="10:11" x14ac:dyDescent="0.3">
      <c r="J882" s="22"/>
      <c r="K882" s="19"/>
    </row>
    <row r="883" spans="10:11" x14ac:dyDescent="0.3">
      <c r="J883" s="22"/>
      <c r="K883" s="19"/>
    </row>
    <row r="884" spans="10:11" x14ac:dyDescent="0.3">
      <c r="J884" s="22"/>
      <c r="K884" s="19"/>
    </row>
    <row r="885" spans="10:11" x14ac:dyDescent="0.3">
      <c r="J885" s="22"/>
      <c r="K885" s="19"/>
    </row>
    <row r="886" spans="10:11" x14ac:dyDescent="0.3">
      <c r="J886" s="22"/>
      <c r="K886" s="19"/>
    </row>
    <row r="887" spans="10:11" x14ac:dyDescent="0.3">
      <c r="J887" s="22"/>
      <c r="K887" s="19"/>
    </row>
    <row r="888" spans="10:11" x14ac:dyDescent="0.3">
      <c r="J888" s="22"/>
      <c r="K888" s="19"/>
    </row>
    <row r="889" spans="10:11" x14ac:dyDescent="0.3">
      <c r="J889" s="22"/>
      <c r="K889" s="19"/>
    </row>
    <row r="890" spans="10:11" x14ac:dyDescent="0.3">
      <c r="J890" s="22"/>
      <c r="K890" s="19"/>
    </row>
    <row r="891" spans="10:11" x14ac:dyDescent="0.3">
      <c r="J891" s="22"/>
      <c r="K891" s="19"/>
    </row>
    <row r="892" spans="10:11" x14ac:dyDescent="0.3">
      <c r="J892" s="22"/>
      <c r="K892" s="19"/>
    </row>
    <row r="893" spans="10:11" x14ac:dyDescent="0.3">
      <c r="J893" s="22"/>
      <c r="K893" s="19"/>
    </row>
    <row r="894" spans="10:11" x14ac:dyDescent="0.3">
      <c r="J894" s="22"/>
      <c r="K894" s="19"/>
    </row>
    <row r="895" spans="10:11" x14ac:dyDescent="0.3">
      <c r="J895" s="22"/>
      <c r="K895" s="19"/>
    </row>
    <row r="896" spans="10:11" x14ac:dyDescent="0.3">
      <c r="J896" s="22"/>
      <c r="K896" s="19"/>
    </row>
    <row r="897" spans="10:11" x14ac:dyDescent="0.3">
      <c r="J897" s="22"/>
      <c r="K897" s="19"/>
    </row>
    <row r="898" spans="10:11" x14ac:dyDescent="0.3">
      <c r="J898" s="22"/>
      <c r="K898" s="19"/>
    </row>
    <row r="899" spans="10:11" x14ac:dyDescent="0.3">
      <c r="J899" s="22"/>
      <c r="K899" s="19"/>
    </row>
    <row r="900" spans="10:11" x14ac:dyDescent="0.3">
      <c r="J900" s="22"/>
      <c r="K900" s="19"/>
    </row>
    <row r="901" spans="10:11" x14ac:dyDescent="0.3">
      <c r="J901" s="22"/>
      <c r="K901" s="19"/>
    </row>
    <row r="902" spans="10:11" x14ac:dyDescent="0.3">
      <c r="J902" s="22"/>
      <c r="K902" s="19"/>
    </row>
    <row r="903" spans="10:11" x14ac:dyDescent="0.3">
      <c r="J903" s="22"/>
      <c r="K903" s="19"/>
    </row>
    <row r="904" spans="10:11" x14ac:dyDescent="0.3">
      <c r="J904" s="22"/>
      <c r="K904" s="19"/>
    </row>
    <row r="905" spans="10:11" x14ac:dyDescent="0.3">
      <c r="J905" s="22"/>
      <c r="K905" s="19"/>
    </row>
    <row r="906" spans="10:11" x14ac:dyDescent="0.3">
      <c r="J906" s="22"/>
      <c r="K906" s="19"/>
    </row>
    <row r="907" spans="10:11" x14ac:dyDescent="0.3">
      <c r="J907" s="22"/>
      <c r="K907" s="19"/>
    </row>
    <row r="908" spans="10:11" x14ac:dyDescent="0.3">
      <c r="J908" s="22"/>
      <c r="K908" s="19"/>
    </row>
    <row r="909" spans="10:11" x14ac:dyDescent="0.3">
      <c r="J909" s="22"/>
      <c r="K909" s="19"/>
    </row>
    <row r="910" spans="10:11" x14ac:dyDescent="0.3">
      <c r="J910" s="22"/>
      <c r="K910" s="19"/>
    </row>
    <row r="911" spans="10:11" x14ac:dyDescent="0.3">
      <c r="J911" s="22"/>
      <c r="K911" s="19"/>
    </row>
    <row r="912" spans="10:11" x14ac:dyDescent="0.3">
      <c r="J912" s="22"/>
      <c r="K912" s="19"/>
    </row>
    <row r="913" spans="10:11" x14ac:dyDescent="0.3">
      <c r="J913" s="22"/>
      <c r="K913" s="19"/>
    </row>
    <row r="914" spans="10:11" x14ac:dyDescent="0.3">
      <c r="J914" s="22"/>
      <c r="K914" s="19"/>
    </row>
    <row r="915" spans="10:11" x14ac:dyDescent="0.3">
      <c r="J915" s="22"/>
      <c r="K915" s="19"/>
    </row>
    <row r="916" spans="10:11" x14ac:dyDescent="0.3">
      <c r="J916" s="22"/>
      <c r="K916" s="19"/>
    </row>
    <row r="917" spans="10:11" x14ac:dyDescent="0.3">
      <c r="J917" s="22"/>
      <c r="K917" s="19"/>
    </row>
    <row r="918" spans="10:11" x14ac:dyDescent="0.3">
      <c r="J918" s="22"/>
      <c r="K918" s="19"/>
    </row>
    <row r="919" spans="10:11" x14ac:dyDescent="0.3">
      <c r="J919" s="22"/>
      <c r="K919" s="19"/>
    </row>
    <row r="920" spans="10:11" x14ac:dyDescent="0.3">
      <c r="J920" s="22"/>
      <c r="K920" s="19"/>
    </row>
    <row r="921" spans="10:11" x14ac:dyDescent="0.3">
      <c r="J921" s="22"/>
      <c r="K921" s="19"/>
    </row>
    <row r="922" spans="10:11" x14ac:dyDescent="0.3">
      <c r="J922" s="22"/>
      <c r="K922" s="19"/>
    </row>
    <row r="923" spans="10:11" x14ac:dyDescent="0.3">
      <c r="J923" s="22"/>
      <c r="K923" s="19"/>
    </row>
    <row r="924" spans="10:11" x14ac:dyDescent="0.3">
      <c r="J924" s="22"/>
      <c r="K924" s="19"/>
    </row>
    <row r="925" spans="10:11" x14ac:dyDescent="0.3">
      <c r="J925" s="22"/>
      <c r="K925" s="19"/>
    </row>
    <row r="926" spans="10:11" x14ac:dyDescent="0.3">
      <c r="J926" s="22"/>
      <c r="K926" s="19"/>
    </row>
    <row r="927" spans="10:11" x14ac:dyDescent="0.3">
      <c r="J927" s="22"/>
      <c r="K927" s="19"/>
    </row>
    <row r="928" spans="10:11" x14ac:dyDescent="0.3">
      <c r="J928" s="22"/>
      <c r="K928" s="19"/>
    </row>
    <row r="929" spans="10:11" x14ac:dyDescent="0.3">
      <c r="J929" s="22"/>
      <c r="K929" s="19"/>
    </row>
    <row r="930" spans="10:11" x14ac:dyDescent="0.3">
      <c r="J930" s="22"/>
      <c r="K930" s="19"/>
    </row>
    <row r="931" spans="10:11" x14ac:dyDescent="0.3">
      <c r="J931" s="22"/>
      <c r="K931" s="19"/>
    </row>
    <row r="932" spans="10:11" x14ac:dyDescent="0.3">
      <c r="J932" s="22"/>
      <c r="K932" s="19"/>
    </row>
    <row r="933" spans="10:11" x14ac:dyDescent="0.3">
      <c r="J933" s="22"/>
      <c r="K933" s="19"/>
    </row>
    <row r="934" spans="10:11" x14ac:dyDescent="0.3">
      <c r="J934" s="22"/>
      <c r="K934" s="19"/>
    </row>
    <row r="935" spans="10:11" x14ac:dyDescent="0.3">
      <c r="J935" s="22"/>
      <c r="K935" s="19"/>
    </row>
    <row r="936" spans="10:11" x14ac:dyDescent="0.3">
      <c r="J936" s="22"/>
      <c r="K936" s="19"/>
    </row>
    <row r="937" spans="10:11" x14ac:dyDescent="0.3">
      <c r="J937" s="22"/>
      <c r="K937" s="19"/>
    </row>
    <row r="938" spans="10:11" x14ac:dyDescent="0.3">
      <c r="J938" s="22"/>
      <c r="K938" s="19"/>
    </row>
    <row r="939" spans="10:11" x14ac:dyDescent="0.3">
      <c r="J939" s="22"/>
      <c r="K939" s="19"/>
    </row>
    <row r="940" spans="10:11" x14ac:dyDescent="0.3">
      <c r="J940" s="22"/>
      <c r="K940" s="19"/>
    </row>
    <row r="941" spans="10:11" x14ac:dyDescent="0.3">
      <c r="J941" s="22"/>
      <c r="K941" s="19"/>
    </row>
    <row r="942" spans="10:11" x14ac:dyDescent="0.3">
      <c r="J942" s="22"/>
      <c r="K942" s="19"/>
    </row>
    <row r="943" spans="10:11" x14ac:dyDescent="0.3">
      <c r="J943" s="22"/>
      <c r="K943" s="19"/>
    </row>
    <row r="944" spans="10:11" x14ac:dyDescent="0.3">
      <c r="J944" s="22"/>
      <c r="K944" s="19"/>
    </row>
    <row r="945" spans="10:11" x14ac:dyDescent="0.3">
      <c r="J945" s="22"/>
      <c r="K945" s="19"/>
    </row>
    <row r="946" spans="10:11" x14ac:dyDescent="0.3">
      <c r="J946" s="22"/>
      <c r="K946" s="19"/>
    </row>
    <row r="947" spans="10:11" x14ac:dyDescent="0.3">
      <c r="J947" s="22"/>
      <c r="K947" s="19"/>
    </row>
    <row r="948" spans="10:11" x14ac:dyDescent="0.3">
      <c r="J948" s="22"/>
      <c r="K948" s="19"/>
    </row>
    <row r="949" spans="10:11" x14ac:dyDescent="0.3">
      <c r="J949" s="22"/>
      <c r="K949" s="19"/>
    </row>
    <row r="950" spans="10:11" x14ac:dyDescent="0.3">
      <c r="J950" s="22"/>
      <c r="K950" s="19"/>
    </row>
    <row r="951" spans="10:11" x14ac:dyDescent="0.3">
      <c r="J951" s="22"/>
      <c r="K951" s="19"/>
    </row>
    <row r="952" spans="10:11" x14ac:dyDescent="0.3">
      <c r="J952" s="22"/>
      <c r="K952" s="19"/>
    </row>
    <row r="953" spans="10:11" x14ac:dyDescent="0.3">
      <c r="J953" s="22"/>
      <c r="K953" s="19"/>
    </row>
    <row r="954" spans="10:11" x14ac:dyDescent="0.3">
      <c r="J954" s="22"/>
      <c r="K954" s="19"/>
    </row>
    <row r="955" spans="10:11" x14ac:dyDescent="0.3">
      <c r="J955" s="22"/>
      <c r="K955" s="19"/>
    </row>
    <row r="956" spans="10:11" x14ac:dyDescent="0.3">
      <c r="J956" s="22"/>
      <c r="K956" s="19"/>
    </row>
    <row r="957" spans="10:11" x14ac:dyDescent="0.3">
      <c r="J957" s="22"/>
      <c r="K957" s="19"/>
    </row>
    <row r="958" spans="10:11" x14ac:dyDescent="0.3">
      <c r="J958" s="22"/>
      <c r="K958" s="19"/>
    </row>
    <row r="959" spans="10:11" x14ac:dyDescent="0.3">
      <c r="J959" s="22"/>
      <c r="K959" s="19"/>
    </row>
    <row r="960" spans="10:11" x14ac:dyDescent="0.3">
      <c r="J960" s="22"/>
      <c r="K960" s="19"/>
    </row>
    <row r="961" spans="10:11" x14ac:dyDescent="0.3">
      <c r="J961" s="22"/>
      <c r="K961" s="19"/>
    </row>
    <row r="962" spans="10:11" x14ac:dyDescent="0.3">
      <c r="J962" s="22"/>
      <c r="K962" s="19"/>
    </row>
    <row r="963" spans="10:11" x14ac:dyDescent="0.3">
      <c r="J963" s="22"/>
      <c r="K963" s="19"/>
    </row>
    <row r="964" spans="10:11" x14ac:dyDescent="0.3">
      <c r="J964" s="22"/>
      <c r="K964" s="19"/>
    </row>
    <row r="965" spans="10:11" x14ac:dyDescent="0.3">
      <c r="J965" s="22"/>
      <c r="K965" s="19"/>
    </row>
    <row r="966" spans="10:11" x14ac:dyDescent="0.3">
      <c r="J966" s="22"/>
      <c r="K966" s="19"/>
    </row>
    <row r="967" spans="10:11" x14ac:dyDescent="0.3">
      <c r="J967" s="22"/>
      <c r="K967" s="19"/>
    </row>
    <row r="968" spans="10:11" x14ac:dyDescent="0.3">
      <c r="J968" s="22"/>
      <c r="K968" s="19"/>
    </row>
    <row r="969" spans="10:11" x14ac:dyDescent="0.3">
      <c r="J969" s="22"/>
      <c r="K969" s="19"/>
    </row>
    <row r="970" spans="10:11" x14ac:dyDescent="0.3">
      <c r="J970" s="22"/>
      <c r="K970" s="19"/>
    </row>
    <row r="971" spans="10:11" x14ac:dyDescent="0.3">
      <c r="J971" s="22"/>
      <c r="K971" s="19"/>
    </row>
    <row r="972" spans="10:11" x14ac:dyDescent="0.3">
      <c r="J972" s="22"/>
      <c r="K972" s="19"/>
    </row>
    <row r="973" spans="10:11" x14ac:dyDescent="0.3">
      <c r="J973" s="22"/>
      <c r="K973" s="19"/>
    </row>
    <row r="974" spans="10:11" x14ac:dyDescent="0.3">
      <c r="J974" s="22"/>
      <c r="K974" s="19"/>
    </row>
    <row r="975" spans="10:11" x14ac:dyDescent="0.3">
      <c r="J975" s="22"/>
      <c r="K975" s="19"/>
    </row>
    <row r="976" spans="10:11" x14ac:dyDescent="0.3">
      <c r="J976" s="22"/>
      <c r="K976" s="19"/>
    </row>
    <row r="977" spans="10:11" x14ac:dyDescent="0.3">
      <c r="J977" s="22"/>
      <c r="K977" s="19"/>
    </row>
    <row r="978" spans="10:11" x14ac:dyDescent="0.3">
      <c r="J978" s="22"/>
      <c r="K978" s="19"/>
    </row>
    <row r="979" spans="10:11" x14ac:dyDescent="0.3">
      <c r="J979" s="22"/>
      <c r="K979" s="19"/>
    </row>
    <row r="980" spans="10:11" x14ac:dyDescent="0.3">
      <c r="J980" s="22"/>
      <c r="K980" s="19"/>
    </row>
    <row r="981" spans="10:11" x14ac:dyDescent="0.3">
      <c r="J981" s="22"/>
      <c r="K981" s="19"/>
    </row>
    <row r="982" spans="10:11" x14ac:dyDescent="0.3">
      <c r="J982" s="22"/>
      <c r="K982" s="19"/>
    </row>
    <row r="983" spans="10:11" x14ac:dyDescent="0.3">
      <c r="J983" s="22"/>
      <c r="K983" s="19"/>
    </row>
    <row r="984" spans="10:11" x14ac:dyDescent="0.3">
      <c r="J984" s="22"/>
      <c r="K984" s="19"/>
    </row>
    <row r="985" spans="10:11" x14ac:dyDescent="0.3">
      <c r="J985" s="22"/>
      <c r="K985" s="19"/>
    </row>
    <row r="986" spans="10:11" x14ac:dyDescent="0.3">
      <c r="J986" s="22"/>
      <c r="K986" s="19"/>
    </row>
    <row r="987" spans="10:11" x14ac:dyDescent="0.3">
      <c r="J987" s="22"/>
      <c r="K987" s="19"/>
    </row>
    <row r="988" spans="10:11" x14ac:dyDescent="0.3">
      <c r="J988" s="22"/>
      <c r="K988" s="19"/>
    </row>
    <row r="989" spans="10:11" x14ac:dyDescent="0.3">
      <c r="J989" s="22"/>
      <c r="K989" s="19"/>
    </row>
    <row r="990" spans="10:11" x14ac:dyDescent="0.3">
      <c r="J990" s="22"/>
      <c r="K990" s="19"/>
    </row>
    <row r="991" spans="10:11" x14ac:dyDescent="0.3">
      <c r="J991" s="22"/>
      <c r="K991" s="19"/>
    </row>
    <row r="992" spans="10:11" x14ac:dyDescent="0.3">
      <c r="J992" s="22"/>
      <c r="K992" s="19"/>
    </row>
    <row r="993" spans="10:11" x14ac:dyDescent="0.3">
      <c r="J993" s="22"/>
      <c r="K993" s="19"/>
    </row>
    <row r="994" spans="10:11" x14ac:dyDescent="0.3">
      <c r="J994" s="22"/>
      <c r="K994" s="19"/>
    </row>
    <row r="995" spans="10:11" x14ac:dyDescent="0.3">
      <c r="J995" s="22"/>
      <c r="K995" s="19"/>
    </row>
    <row r="996" spans="10:11" x14ac:dyDescent="0.3">
      <c r="J996" s="22"/>
      <c r="K996" s="19"/>
    </row>
    <row r="997" spans="10:11" x14ac:dyDescent="0.3">
      <c r="J997" s="22"/>
      <c r="K997" s="19"/>
    </row>
    <row r="998" spans="10:11" x14ac:dyDescent="0.3">
      <c r="J998" s="22"/>
      <c r="K998" s="19"/>
    </row>
    <row r="999" spans="10:11" x14ac:dyDescent="0.3">
      <c r="J999" s="22"/>
      <c r="K999" s="19"/>
    </row>
    <row r="1000" spans="10:11" x14ac:dyDescent="0.3">
      <c r="J1000" s="22"/>
      <c r="K1000" s="19"/>
    </row>
    <row r="1001" spans="10:11" x14ac:dyDescent="0.3">
      <c r="J1001" s="22"/>
      <c r="K1001" s="19"/>
    </row>
    <row r="1002" spans="10:11" x14ac:dyDescent="0.3">
      <c r="J1002" s="22"/>
      <c r="K1002" s="19"/>
    </row>
    <row r="1003" spans="10:11" x14ac:dyDescent="0.3">
      <c r="J1003" s="22"/>
      <c r="K1003" s="19"/>
    </row>
    <row r="1004" spans="10:11" x14ac:dyDescent="0.3">
      <c r="J1004" s="22"/>
      <c r="K1004" s="19"/>
    </row>
  </sheetData>
  <mergeCells count="1">
    <mergeCell ref="A1:J1"/>
  </mergeCells>
  <conditionalFormatting sqref="K5:K8 K15:K1004">
    <cfRule type="cellIs" dxfId="0" priority="1" operator="greaterThan">
      <formula>10000</formula>
    </cfRule>
  </conditionalFormatting>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workbookViewId="0">
      <selection activeCell="S8" sqref="S8"/>
    </sheetView>
  </sheetViews>
  <sheetFormatPr defaultRowHeight="14.4" x14ac:dyDescent="0.3"/>
  <sheetData/>
  <sheetProtection algorithmName="SHA-512" hashValue="doio9oT9//szJeO88qcMhYDMF1Fk5Gltm2G0oGPzICI2RsejJIXp9VrCk1xMgE+GxoA6wAEQX8kNDQYSI6hNHg==" saltValue="Hxn/trVMLSTNqyg5EVsU/w==" spinCount="100000" sheet="1" sort="0"/>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Pivot Table</vt:lpstr>
      <vt:lpstr>Sheet6</vt:lpstr>
      <vt:lpstr>Dashboard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2026-05-23T06:18:29Z</dcterms:created>
  <dcterms:modified xsi:type="dcterms:W3CDTF">2026-05-25T03:01:13Z</dcterms:modified>
</cp:coreProperties>
</file>